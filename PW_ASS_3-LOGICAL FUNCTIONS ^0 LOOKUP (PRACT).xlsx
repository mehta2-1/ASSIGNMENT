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322a1c909aff64/Documents/"/>
    </mc:Choice>
  </mc:AlternateContent>
  <xr:revisionPtr revIDLastSave="278" documentId="8_{F54D980A-F2F8-47D5-80AF-A41BB4FCD12C}" xr6:coauthVersionLast="47" xr6:coauthVersionMax="47" xr10:uidLastSave="{129F6A2E-03CC-4FC2-8679-44D33AD58E81}"/>
  <workbookProtection workbookAlgorithmName="SHA-512" workbookHashValue="7ZzffgRFqIiCDuJ3JIySsC4gNBIFtRXYPv3j50w5iWk8uHYweq5+pQuUKFDgxgw65J7fyvYTdFsX2hxopZYkWA==" workbookSaltValue="VdqyDw/1BqBXeDr283JzxA==" workbookSpinCount="100000" lockStructure="1"/>
  <bookViews>
    <workbookView xWindow="-108" yWindow="-108" windowWidth="23256" windowHeight="12456" activeTab="1" xr2:uid="{36F20A31-C683-4CDD-A15C-51FF943980D2}"/>
  </bookViews>
  <sheets>
    <sheet name="Q1,Q2,Q3,Q4,Q5" sheetId="1" r:id="rId1"/>
    <sheet name="Q6,Q7,Q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P5" i="2"/>
  <c r="E5" i="2"/>
  <c r="E6" i="2"/>
  <c r="E7" i="2"/>
  <c r="O18" i="1"/>
  <c r="H19" i="1"/>
  <c r="N6" i="1"/>
  <c r="N7" i="1"/>
  <c r="N8" i="1"/>
  <c r="N9" i="1"/>
  <c r="N5" i="1"/>
  <c r="I6" i="1"/>
  <c r="I7" i="1"/>
  <c r="I8" i="1"/>
  <c r="I5" i="1"/>
  <c r="C6" i="1"/>
  <c r="C7" i="1"/>
  <c r="C8" i="1"/>
  <c r="C9" i="1"/>
  <c r="C5" i="1"/>
</calcChain>
</file>

<file path=xl/sharedStrings.xml><?xml version="1.0" encoding="utf-8"?>
<sst xmlns="http://schemas.openxmlformats.org/spreadsheetml/2006/main" count="72" uniqueCount="56">
  <si>
    <t>Student Name</t>
  </si>
  <si>
    <t>Marks</t>
  </si>
  <si>
    <t>Riya</t>
  </si>
  <si>
    <t>Siya</t>
  </si>
  <si>
    <t>Raju</t>
  </si>
  <si>
    <t>Rahul</t>
  </si>
  <si>
    <t>Ram</t>
  </si>
  <si>
    <t>RESULT</t>
  </si>
  <si>
    <t>Q1</t>
  </si>
  <si>
    <t>Employee</t>
  </si>
  <si>
    <t>Sales</t>
  </si>
  <si>
    <t>Attendance</t>
  </si>
  <si>
    <t>Arjun</t>
  </si>
  <si>
    <t>Simran</t>
  </si>
  <si>
    <t>Rohit</t>
  </si>
  <si>
    <t>Anjali</t>
  </si>
  <si>
    <t>Bonus</t>
  </si>
  <si>
    <t>Q2</t>
  </si>
  <si>
    <t>Raj</t>
  </si>
  <si>
    <t>Neha</t>
  </si>
  <si>
    <t>Vivek</t>
  </si>
  <si>
    <t>Rani</t>
  </si>
  <si>
    <t>Sneha</t>
  </si>
  <si>
    <t>GRADES</t>
  </si>
  <si>
    <t>Q3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</si>
  <si>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</si>
  <si>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</si>
  <si>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</si>
  <si>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</si>
  <si>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</si>
  <si>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</si>
  <si>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</si>
  <si>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</si>
  <si>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</si>
  <si>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</si>
  <si>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</si>
  <si>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</si>
  <si>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Q4</t>
  </si>
  <si>
    <t>Sales Amount</t>
  </si>
  <si>
    <t>Commission Rate</t>
  </si>
  <si>
    <t>Q5</t>
  </si>
  <si>
    <t>Employee Name</t>
  </si>
  <si>
    <t>Leaves Taken</t>
  </si>
  <si>
    <t>Leaves Allowed</t>
  </si>
  <si>
    <t>Alex</t>
  </si>
  <si>
    <t>Bob</t>
  </si>
  <si>
    <t>Anna</t>
  </si>
  <si>
    <t>Leave Status</t>
  </si>
  <si>
    <t>Q6</t>
  </si>
  <si>
    <t>Q7</t>
  </si>
  <si>
    <t>Salary</t>
  </si>
  <si>
    <t>E105</t>
  </si>
  <si>
    <t>E106</t>
  </si>
  <si>
    <t>Q8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</si>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</sst>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DLaM Display"/>
    </font>
    <font>
      <sz val="11"/>
      <color theme="1"/>
      <name val="ADLaM Display"/>
    </font>
    <font>
      <b/>
      <sz val="14"/>
      <color rgb="FF0070C0"/>
      <name val="ADLaM Display"/>
    </font>
    <font>
      <sz val="16"/>
      <color rgb="FF0070C0"/>
      <name val="ADLaM Display"/>
    </font>
    <font>
      <b/>
      <sz val="11"/>
      <color theme="1"/>
      <name val="Amasis MT Pro Black"/>
      <family val="1"/>
    </font>
    <font>
      <b/>
      <sz val="16"/>
      <color theme="1"/>
      <name val="Amasis MT Pro Black"/>
      <family val="1"/>
    </font>
    <font>
      <b/>
      <sz val="16"/>
      <color theme="1" tint="4.9989318521683403E-2"/>
      <name val="Amasis MT Pro Black"/>
      <family val="1"/>
    </font>
    <font>
      <b/>
      <sz val="16"/>
      <color theme="1"/>
      <name val="ADLaM Display"/>
    </font>
    <font>
      <b/>
      <sz val="18"/>
      <color theme="1"/>
      <name val="ADLaM Display"/>
    </font>
    <font>
      <b/>
      <sz val="22"/>
      <color theme="1"/>
      <name val="ADLaM Display"/>
    </font>
    <font>
      <sz val="11"/>
      <color theme="1"/>
      <name val="Amasis MT Pro Black"/>
      <family val="1"/>
    </font>
    <font>
      <b/>
      <sz val="11"/>
      <color rgb="FF0070C0"/>
      <name val="Amasis MT Pro Black"/>
      <family val="1"/>
    </font>
    <font>
      <b/>
      <sz val="16"/>
      <color theme="1"/>
      <name val="Aharoni"/>
      <charset val="177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8" fillId="4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9" fillId="7" borderId="2" xfId="0" applyFont="1" applyFill="1" applyBorder="1"/>
    <xf numFmtId="0" fontId="6" fillId="2" borderId="1" xfId="0" applyFont="1" applyFill="1" applyBorder="1" applyAlignment="1">
      <alignment vertical="center" wrapText="1"/>
    </xf>
    <xf numFmtId="0" fontId="14" fillId="9" borderId="2" xfId="0" applyFont="1" applyFill="1" applyBorder="1"/>
    <xf numFmtId="0" fontId="9" fillId="9" borderId="2" xfId="0" applyFont="1" applyFill="1" applyBorder="1"/>
    <xf numFmtId="0" fontId="7" fillId="8" borderId="2" xfId="0" applyFont="1" applyFill="1" applyBorder="1"/>
    <xf numFmtId="0" fontId="12" fillId="0" borderId="3" xfId="0" applyFont="1" applyBorder="1" applyAlignment="1">
      <alignment vertical="center" wrapText="1"/>
    </xf>
    <xf numFmtId="9" fontId="12" fillId="0" borderId="4" xfId="0" applyNumberFormat="1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9" fontId="12" fillId="0" borderId="8" xfId="0" applyNumberFormat="1" applyFont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4" xfId="0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8" xfId="0" applyFont="1" applyFill="1" applyBorder="1"/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/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/>
    <xf numFmtId="0" fontId="3" fillId="3" borderId="7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8" xfId="0" applyFont="1" applyFill="1" applyBorder="1"/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/>
    <xf numFmtId="0" fontId="13" fillId="8" borderId="5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6" xfId="0" applyFont="1" applyFill="1" applyBorder="1"/>
    <xf numFmtId="0" fontId="6" fillId="2" borderId="7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8" xfId="0" applyFont="1" applyFill="1" applyBorder="1"/>
    <xf numFmtId="9" fontId="2" fillId="10" borderId="2" xfId="0" applyNumberFormat="1" applyFont="1" applyFill="1" applyBorder="1"/>
    <xf numFmtId="0" fontId="9" fillId="10" borderId="2" xfId="0" applyFont="1" applyFill="1" applyBorder="1"/>
    <xf numFmtId="0" fontId="10" fillId="11" borderId="2" xfId="0" applyFont="1" applyFill="1" applyBorder="1"/>
    <xf numFmtId="0" fontId="2" fillId="12" borderId="2" xfId="0" applyFont="1" applyFill="1" applyBorder="1"/>
    <xf numFmtId="0" fontId="10" fillId="12" borderId="2" xfId="0" applyFont="1" applyFill="1" applyBorder="1"/>
    <xf numFmtId="0" fontId="14" fillId="13" borderId="2" xfId="0" applyFont="1" applyFill="1" applyBorder="1"/>
    <xf numFmtId="0" fontId="11" fillId="14" borderId="2" xfId="0" applyFont="1" applyFill="1" applyBorder="1"/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Black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Black"/>
        <family val="1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Black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Black"/>
        <family val="1"/>
        <scheme val="none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Black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Black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LaM Display"/>
        <scheme val="none"/>
      </font>
      <fill>
        <patternFill patternType="solid">
          <fgColor indexed="64"/>
          <bgColor theme="8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5D7F0FB5-B4E6-4CB8-B55E-97E014B6F9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customXml" Target="../ink/ink7.xml"/><Relationship Id="rId7" Type="http://schemas.openxmlformats.org/officeDocument/2006/relationships/customXml" Target="../ink/ink9.xml"/><Relationship Id="rId2" Type="http://schemas.openxmlformats.org/officeDocument/2006/relationships/image" Target="../media/image6.png"/><Relationship Id="rId1" Type="http://schemas.openxmlformats.org/officeDocument/2006/relationships/customXml" Target="../ink/ink6.xml"/><Relationship Id="rId6" Type="http://schemas.openxmlformats.org/officeDocument/2006/relationships/image" Target="../media/image8.png"/><Relationship Id="rId5" Type="http://schemas.openxmlformats.org/officeDocument/2006/relationships/customXml" Target="../ink/ink8.xml"/><Relationship Id="rId10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customXml" Target="../ink/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</xdr:colOff>
      <xdr:row>18</xdr:row>
      <xdr:rowOff>167640</xdr:rowOff>
    </xdr:from>
    <xdr:to>
      <xdr:col>7</xdr:col>
      <xdr:colOff>126197</xdr:colOff>
      <xdr:row>20</xdr:row>
      <xdr:rowOff>60720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DB4C41E-D71B-A5C2-AA15-9DC4A27A327D}"/>
                </a:ext>
              </a:extLst>
            </xdr14:cNvPr>
            <xdr14:cNvContentPartPr/>
          </xdr14:nvContentPartPr>
          <xdr14:nvPr macro=""/>
          <xdr14:xfrm>
            <a:off x="4427220" y="4076700"/>
            <a:ext cx="842477" cy="2893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DB4C41E-D71B-A5C2-AA15-9DC4A27A32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20739" y="4070583"/>
              <a:ext cx="854718" cy="3015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571140</xdr:colOff>
      <xdr:row>18</xdr:row>
      <xdr:rowOff>152220</xdr:rowOff>
    </xdr:from>
    <xdr:to>
      <xdr:col>7</xdr:col>
      <xdr:colOff>121800</xdr:colOff>
      <xdr:row>18</xdr:row>
      <xdr:rowOff>152580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E6C3584-C572-BF3D-FB52-FE7FC77BE274}"/>
                </a:ext>
              </a:extLst>
            </xdr14:cNvPr>
            <xdr14:cNvContentPartPr/>
          </xdr14:nvContentPartPr>
          <xdr14:nvPr macro=""/>
          <xdr14:xfrm>
            <a:off x="4975500" y="4061280"/>
            <a:ext cx="289800" cy="3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E6C3584-C572-BF3D-FB52-FE7FC77BE27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969380" y="4055160"/>
              <a:ext cx="302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685800</xdr:colOff>
      <xdr:row>18</xdr:row>
      <xdr:rowOff>190501</xdr:rowOff>
    </xdr:from>
    <xdr:to>
      <xdr:col>7</xdr:col>
      <xdr:colOff>145918</xdr:colOff>
      <xdr:row>19</xdr:row>
      <xdr:rowOff>194369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BE849D5-C673-C93A-546B-5ED250E0C568}"/>
                </a:ext>
              </a:extLst>
            </xdr14:cNvPr>
            <xdr14:cNvContentPartPr/>
          </xdr14:nvContentPartPr>
          <xdr14:nvPr macro=""/>
          <xdr14:xfrm>
            <a:off x="5090160" y="4099561"/>
            <a:ext cx="199258" cy="201988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BE849D5-C673-C93A-546B-5ED250E0C56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084035" y="4093440"/>
              <a:ext cx="211509" cy="2142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11758</xdr:colOff>
      <xdr:row>17</xdr:row>
      <xdr:rowOff>93900</xdr:rowOff>
    </xdr:from>
    <xdr:to>
      <xdr:col>13</xdr:col>
      <xdr:colOff>620280</xdr:colOff>
      <xdr:row>19</xdr:row>
      <xdr:rowOff>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5C8E27-3294-2C51-C197-C9CED7E13642}"/>
                </a:ext>
              </a:extLst>
            </xdr14:cNvPr>
            <xdr14:cNvContentPartPr/>
          </xdr14:nvContentPartPr>
          <xdr14:nvPr macro=""/>
          <xdr14:xfrm>
            <a:off x="12455218" y="3774360"/>
            <a:ext cx="608522" cy="3099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5C8E27-3294-2C51-C197-C9CED7E1364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437225" y="3756740"/>
              <a:ext cx="644148" cy="3455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282540</xdr:colOff>
      <xdr:row>17</xdr:row>
      <xdr:rowOff>53100</xdr:rowOff>
    </xdr:from>
    <xdr:to>
      <xdr:col>13</xdr:col>
      <xdr:colOff>663420</xdr:colOff>
      <xdr:row>18</xdr:row>
      <xdr:rowOff>159180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C9811F18-3783-B0B0-9F55-6790F1DE0791}"/>
                </a:ext>
              </a:extLst>
            </xdr14:cNvPr>
            <xdr14:cNvContentPartPr/>
          </xdr14:nvContentPartPr>
          <xdr14:nvPr macro=""/>
          <xdr14:xfrm>
            <a:off x="12726000" y="3733560"/>
            <a:ext cx="380880" cy="3042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C9811F18-3783-B0B0-9F55-6790F1DE079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08343" y="3715560"/>
              <a:ext cx="416554" cy="339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549918</xdr:colOff>
      <xdr:row>4</xdr:row>
      <xdr:rowOff>30480</xdr:rowOff>
    </xdr:from>
    <xdr:to>
      <xdr:col>14</xdr:col>
      <xdr:colOff>533760</xdr:colOff>
      <xdr:row>5</xdr:row>
      <xdr:rowOff>172633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C67F25E-93AF-8D27-242A-F18EE35501A6}"/>
                </a:ext>
              </a:extLst>
            </xdr14:cNvPr>
            <xdr14:cNvContentPartPr/>
          </xdr14:nvContentPartPr>
          <xdr14:nvPr macro=""/>
          <xdr14:xfrm>
            <a:off x="9175758" y="1097280"/>
            <a:ext cx="1203042" cy="347893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C67F25E-93AF-8D27-242A-F18EE35501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157748" y="1079652"/>
              <a:ext cx="1238701" cy="3835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411480</xdr:colOff>
      <xdr:row>3</xdr:row>
      <xdr:rowOff>310275</xdr:rowOff>
    </xdr:from>
    <xdr:to>
      <xdr:col>14</xdr:col>
      <xdr:colOff>594720</xdr:colOff>
      <xdr:row>5</xdr:row>
      <xdr:rowOff>157500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959548B-E0AA-91FB-3FBC-C4ECDF19B64A}"/>
                </a:ext>
              </a:extLst>
            </xdr14:cNvPr>
            <xdr14:cNvContentPartPr/>
          </xdr14:nvContentPartPr>
          <xdr14:nvPr macro=""/>
          <xdr14:xfrm>
            <a:off x="10256520" y="1003695"/>
            <a:ext cx="183240" cy="426345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959548B-E0AA-91FB-3FBC-C4ECDF19B64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238880" y="985691"/>
              <a:ext cx="218880" cy="4619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247620</xdr:colOff>
      <xdr:row>3</xdr:row>
      <xdr:rowOff>365700</xdr:rowOff>
    </xdr:from>
    <xdr:to>
      <xdr:col>14</xdr:col>
      <xdr:colOff>525900</xdr:colOff>
      <xdr:row>3</xdr:row>
      <xdr:rowOff>366060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017A368-2FFE-FEF3-DDE2-26E96D9E76A1}"/>
                </a:ext>
              </a:extLst>
            </xdr14:cNvPr>
            <xdr14:cNvContentPartPr/>
          </xdr14:nvContentPartPr>
          <xdr14:nvPr macro=""/>
          <xdr14:xfrm>
            <a:off x="10092660" y="1059120"/>
            <a:ext cx="278280" cy="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017A368-2FFE-FEF3-DDE2-26E96D9E76A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74660" y="1041120"/>
              <a:ext cx="3139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876240</xdr:colOff>
      <xdr:row>13</xdr:row>
      <xdr:rowOff>151920</xdr:rowOff>
    </xdr:from>
    <xdr:to>
      <xdr:col>9</xdr:col>
      <xdr:colOff>586980</xdr:colOff>
      <xdr:row>13</xdr:row>
      <xdr:rowOff>183240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121C6EA-87DB-3249-C38A-842C15F78576}"/>
                </a:ext>
              </a:extLst>
            </xdr14:cNvPr>
            <xdr14:cNvContentPartPr/>
          </xdr14:nvContentPartPr>
          <xdr14:nvPr macro=""/>
          <xdr14:xfrm>
            <a:off x="6454080" y="3306600"/>
            <a:ext cx="1196640" cy="313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121C6EA-87DB-3249-C38A-842C15F7857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36080" y="3288960"/>
              <a:ext cx="123228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406260</xdr:colOff>
      <xdr:row>13</xdr:row>
      <xdr:rowOff>16920</xdr:rowOff>
    </xdr:from>
    <xdr:to>
      <xdr:col>9</xdr:col>
      <xdr:colOff>586980</xdr:colOff>
      <xdr:row>14</xdr:row>
      <xdr:rowOff>48960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1E54E2A-C988-8223-27BB-13584C82B30A}"/>
                </a:ext>
              </a:extLst>
            </xdr14:cNvPr>
            <xdr14:cNvContentPartPr/>
          </xdr14:nvContentPartPr>
          <xdr14:nvPr macro=""/>
          <xdr14:xfrm>
            <a:off x="7470000" y="3171600"/>
            <a:ext cx="180720" cy="3063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1E54E2A-C988-8223-27BB-13584C82B30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452360" y="3153960"/>
              <a:ext cx="216360" cy="342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17:52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0 803 24368,'2339'-803'0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18:04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805 0 21389,'-804'0'0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18:28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553 0 24575,'-9'1'0,"0"0"0,0 1 0,0 0 0,0 0 0,1 0 0,-1 1 0,1 1 0,0 0 0,0 0 0,-11 7 0,2 1 0,0 0 0,2 0 0,-23 24 0,-110 113 0,125-123 0,-29 41 0,22-25 0,25-36 0,1 1 0,0 0 0,0 0 0,1 1 0,0-1 0,1 1 0,-3 9 0,-9 24 0,14-40 0,0 0 0,0 0 0,-1 0 0,1 0 0,0-1 0,-1 1 0,1 0 0,-1 0 0,1 0 0,0 0 0,-1-1 0,0 1 0,1 0 0,-1-1 0,0 1 0,1 0 0,-1-1 0,0 1 0,1-1 0,-1 1 0,0-1 0,0 1 0,0-1 0,0 0 0,1 1 0,-1-1 0,0 0 0,0 0 0,0 0 0,0 1 0,0-1 0,0 0 0,0 0 0,0 0 0,0 0 0,1-1 0,-1 1 0,0 0 0,0 0 0,-1-1 0,-1-1 0,-1 0 0,1-1 0,0 1 0,0-1 0,0 0 0,0 0 0,-2-4 0,4 8 0,0-1 0,1 1 0,-1-1 0,1 1 0,-1 0 0,1-1 0,-1 1 0,1 0 0,0-1 0,-1 1 0,1 0 0,0-1 0,-1 1 0,1 0 0,0 0 0,0-1 0,0 1 0,0 0 0,0 0 0,0 0 0,0-1 0,0 1 0,0 0 0,0 0 0,0-1 0,1 3 0,-1 28 0,5-15 0,2-16 0,-6-2 0,0 0 0,0 0 0,0 0 0,0 0 0,0 0 0,0 0 0,0 0 0,0-1 0,-1 1 0,1-5 0,1-25 0,-2 28 0,0 0 0,0-1 0,0 1 0,0 0 0,1-1 0,-1 1 0,1 0 0,0-1 0,1 1 0,-1 0 0,1 0 0,0 0 0,0 0 0,0 0 0,0 1 0,0-1 0,1 1 0,0-1 0,0 1 0,4-4 0,-3 4 0,1 0 0,-1-1 0,0 0 0,0 0 0,0 0 0,0 0 0,-1-1 0,0 1 0,1-1 0,-2 0 0,1 0 0,-1 0 0,1 0 0,-1-1 0,-1 1 0,1-1 0,-1 1 0,0-1 0,0-5 0,2-17-1365,-2 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30:17.93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0 861 24575,'12'-1'0,"1"0"0,-1-1 0,14-4 0,-4 1 0,34-6 0,-30 7 0,0-1 0,-1-1 0,45-18 0,-29 5 0,-14 6 0,2 1 0,29-9 0,-47 18 0,-1-1 0,0 0 0,0-1 0,-1 0 0,17-11 0,41-39 0,1 0 0,12-1 0,89-57 0,-73 51 0,5-4 0,-77 52 0,35-28 0,-29 19 0,-19 16 0,0 1 0,1 0 0,19-8 0,-18 9 0,-1 0 0,0-1 0,15-10 0,-9 6 0,-1 0 0,1 1 0,1 0 0,27-8 0,10-4 0,-24 6 0,-25 11 0,0 0 0,1 1 0,-1 0 0,1 0 0,0 1 0,0-1 0,0 2 0,0-1 0,11 1 0,-16 0-91,1 1 0,0-1 0,-1 0 0,1 0 0,-1 0 0,1 0 0,-1 0 0,0-1 0,0 1 0,1-1 0,-1 0 0,0 0 0,0 0 0,4-5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30:21.388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1057 85 24575,'-1'3'0,"0"1"0,0-1 0,-1 0 0,1 0 0,0-1 0,-1 1 0,0 0 0,0 0 0,-3 4 0,-6 9 0,-24 48 0,2-2 0,-3-1 0,-65 85 0,95-137 0,0-1 0,1 1 0,0 0 0,0 1 0,1 0 0,0-1 0,0 1 0,1 0 0,-3 21 0,1-6 0,1-14 0,0 0 0,0-1 0,-9 17 0,-11 27 0,-5 69-1365</inkml:trace>
  <inkml:trace contextRef="#ctx0" brushRef="#br0" timeOffset="2583.14">1036 0 24575,'-31'20'0,"9"-8"0,8-2 0,0-2 0,-1 1 0,0-2 0,0 0 0,-1-1 0,1 0 0,-18 2 0,7-2 0,0-2 0,-1-2 0,-44 0 0,70-2 0,-30-1 0,0 1 0,0 2 0,-53 9 0,52-6 0,-1-1 0,0-1 0,-41-3 0,39-1 0,-1 2 0,-53 9 0,54-6-403,-1 0 0,-57-3 0,90-1 247,-15 0-6670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50:49.865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0 966 24511,'3339'-965'0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50:54.808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508 0 24575,'0'32'0,"-2"-2"0,-1 1 0,-1 0 0,-2 0 0,-1-1 0,-1 0 0,-2-1 0,-1 0 0,-1 0 0,-18 30 0,-18 13 0,35-55 0,0 1 0,2 0 0,0 1 0,-12 28 0,18-30 0,-1 0 0,-1 0 0,-1-1 0,0 0 0,-1 0 0,-1-1 0,0 0 0,-1-1 0,-1 0 0,0-1 0,-20 17 0,20-18 0,0 0 0,0 0 0,2 1 0,-1 0 0,2 1 0,0 0 0,0 0 0,-10 28 0,-1-3 0,13-22 0,1 0 0,1 1 0,1 0 0,0 0 0,2 0 0,0 1 0,1-1 0,0 1 0,2-1 0,3 22 0,-3-14 0,1-85-67,2-50 239,-4 99-335,-1 1 0,0-1-1,0 1 1,-1 0-1,0-1 1,-1 1 0,0 0-1,-6-13 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50:58.01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773 0 24575,'-750'0'-1365,"727"0"-5461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57:36.31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0 1 23711,'3323'85'0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6:57:38.14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502 461 24575,'-2'5'0,"0"0"0,0 0 0,-1-1 0,1 1 0,-1-1 0,0 0 0,0 0 0,0 0 0,-1 0 0,1-1 0,-5 4 0,-3 4 0,-31 37 0,-2-3 0,-1-1 0,-90 64 0,115-96 20,-1-1-1,0-1 1,-39 13 0,-4 1-1464</inkml:trace>
  <inkml:trace contextRef="#ctx0" brushRef="#br0" timeOffset="1644.52">460 440 24575,'-33'-30'0,"-16"-17"0,-43-79 0,4 5 0,77 109-136,-1 0-1,0 1 1,0 0-1,-2 1 1,1 0-1,-1 1 1,0 1-1,-1 0 0,-26-10 1,23 12-6690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FFED5-671A-44CC-953C-C2045ADA133A}" name="Table1" displayName="Table1" ref="D17:F21" totalsRowShown="0" headerRowDxfId="40" dataDxfId="41">
  <autoFilter ref="D17:F21" xr:uid="{55BFFED5-671A-44CC-953C-C2045ADA133A}"/>
  <tableColumns count="3">
    <tableColumn id="1" xr3:uid="{0A9B1F35-D7E9-4977-A942-BBDD9B100E69}" name="EmpID" dataDxfId="44"/>
    <tableColumn id="2" xr3:uid="{CA6D2E20-E3E0-4AF8-9C92-4E36158D59D9}" name="Name" dataDxfId="43"/>
    <tableColumn id="3" xr3:uid="{29385AB6-6BDD-4466-89DD-9112412ED964}" name="Department" dataDxfId="4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8E7E46-F19C-4287-A5BE-671C56B7BAD2}" name="Table3" displayName="Table3" ref="F4:I8" totalsRowShown="0" headerRowDxfId="32" headerRowBorderDxfId="38" tableBorderDxfId="39" totalsRowBorderDxfId="37">
  <autoFilter ref="F4:I8" xr:uid="{7A8E7E46-F19C-4287-A5BE-671C56B7BAD2}"/>
  <tableColumns count="4">
    <tableColumn id="1" xr3:uid="{3FEBECA9-9539-4CC4-AB8B-B84BD09031E1}" name="Employee" dataDxfId="36"/>
    <tableColumn id="2" xr3:uid="{9F95DB2D-363E-4A00-8DAE-E59B328607F8}" name="Sales" dataDxfId="35"/>
    <tableColumn id="3" xr3:uid="{B45385C6-BEEF-43BD-9FF9-17584B6D5026}" name="Attendance" dataDxfId="34"/>
    <tableColumn id="4" xr3:uid="{0DD7B5C8-8008-4305-94F8-42B48820757F}" name="Bonus" dataDxfId="33">
      <calculatedColumnFormula>IF(AND(G5&gt;40000,H5&gt;=90), "yes","no")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C40436-4E7E-48B9-8118-A68F21017828}" name="Table4" displayName="Table4" ref="A4:C9" totalsRowShown="0" headerRowBorderDxfId="30" tableBorderDxfId="31" totalsRowBorderDxfId="29">
  <autoFilter ref="A4:C9" xr:uid="{ACC40436-4E7E-48B9-8118-A68F21017828}"/>
  <tableColumns count="3">
    <tableColumn id="1" xr3:uid="{D9BE41EB-A424-4E0F-8E49-4AFCAF825197}" name="Student Name" dataDxfId="28"/>
    <tableColumn id="2" xr3:uid="{45B57F6E-4236-46D7-9C97-4398AD3717FA}" name="Marks" dataDxfId="27"/>
    <tableColumn id="3" xr3:uid="{438BDEF8-0C57-4E3B-9B6B-7D76898957BD}" name="RESULT" dataDxfId="26">
      <calculatedColumnFormula>IF(B5&gt;40,"PASS","FAIL")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18950D-5797-43EA-A95D-5C7175A5BFC8}" name="Table5" displayName="Table5" ref="L4:N9" totalsRowShown="0" headerRowBorderDxfId="24" tableBorderDxfId="25" totalsRowBorderDxfId="23">
  <autoFilter ref="L4:N9" xr:uid="{C518950D-5797-43EA-A95D-5C7175A5BFC8}"/>
  <tableColumns count="3">
    <tableColumn id="1" xr3:uid="{066EE8C1-0374-4BAA-B518-8E58C800E10F}" name="Student Name" dataDxfId="22"/>
    <tableColumn id="2" xr3:uid="{E0907078-AD3A-425D-8122-E179DBBC54FA}" name="Marks" dataDxfId="21"/>
    <tableColumn id="3" xr3:uid="{E0B654E0-F6E6-4CAB-ABF3-50098715F8D5}" name="GRADES" dataDxfId="20">
      <calculatedColumnFormula>IF(M5&gt;=90,"A",IF(M5&gt;=75,"B",IF(M5&gt;=50,"C","FAIL")))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240B2A-34FF-4137-B1CB-ED114E671DA3}" name="Table6" displayName="Table6" ref="L16:M20" totalsRowShown="0" headerRowDxfId="14" headerRowBorderDxfId="18" tableBorderDxfId="19" totalsRowBorderDxfId="17">
  <autoFilter ref="L16:M20" xr:uid="{DB240B2A-34FF-4137-B1CB-ED114E671DA3}"/>
  <sortState xmlns:xlrd2="http://schemas.microsoft.com/office/spreadsheetml/2017/richdata2" ref="L17:M20">
    <sortCondition ref="L16:L20"/>
  </sortState>
  <tableColumns count="2">
    <tableColumn id="1" xr3:uid="{CD8C467D-6711-4B01-859E-FE42998CD8C8}" name="Sales Amount" dataDxfId="16"/>
    <tableColumn id="2" xr3:uid="{14CB1A66-501F-4338-90B5-8573283A4A2C}" name="Commission Rate" dataDxfId="15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7464F9-E023-4FC3-92FC-ACC1C7E387E6}" name="Table7" displayName="Table7" ref="B4:E7" totalsRowShown="0" headerRowDxfId="9" dataDxfId="10">
  <autoFilter ref="B4:E7" xr:uid="{C57464F9-E023-4FC3-92FC-ACC1C7E387E6}"/>
  <tableColumns count="4">
    <tableColumn id="1" xr3:uid="{BEB87148-16C5-45E1-9FFB-25276DD6D14B}" name="Employee Name" dataDxfId="13"/>
    <tableColumn id="2" xr3:uid="{267A7E30-543E-473C-9327-A24841FEE513}" name="Leaves Taken" dataDxfId="12"/>
    <tableColumn id="3" xr3:uid="{A92520D8-F983-46DE-97B4-6C1CA5672E6D}" name="Leaves Allowed" dataDxfId="11"/>
    <tableColumn id="4" xr3:uid="{F361775C-BE7E-418C-9C6C-CFDCA1C9CC49}" name="Leave Status" dataDxfId="8">
      <calculatedColumnFormula>IF(Table7[[#This Row],[Leaves Taken]]&gt;Table7[[#This Row],[Leaves Allowed]],"Exceeded","OK")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F5F974-E08F-419F-970B-951408C2E465}" name="Table8" displayName="Table8" ref="L4:M8" totalsRowShown="0" headerRowDxfId="4" dataDxfId="5">
  <autoFilter ref="L4:M8" xr:uid="{C5F5F974-E08F-419F-970B-951408C2E465}"/>
  <tableColumns count="2">
    <tableColumn id="1" xr3:uid="{0B00FF93-58E1-4356-AB06-A23BE1D52C40}" name="EmpID" dataDxfId="7"/>
    <tableColumn id="2" xr3:uid="{016F4B90-6B25-4363-A275-472272131F9E}" name="Salary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83ED5E-0372-4EC1-8DC6-1991A07314DB}" name="Table9" displayName="Table9" ref="G12:H16" totalsRowShown="0" headerRowDxfId="0" dataDxfId="1">
  <autoFilter ref="G12:H16" xr:uid="{2283ED5E-0372-4EC1-8DC6-1991A07314DB}"/>
  <tableColumns count="2">
    <tableColumn id="1" xr3:uid="{3FD46760-3B8F-45F1-922C-F647817B6D89}" name="EmpID" dataDxfId="3"/>
    <tableColumn id="2" xr3:uid="{F1E88EC5-83B5-4A33-9B10-FC6CC4286F4B}" name="Department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0967-8604-4C33-9140-6E9C605FD2E4}">
  <dimension ref="A1:O21"/>
  <sheetViews>
    <sheetView workbookViewId="0">
      <selection activeCell="C24" sqref="C24"/>
    </sheetView>
  </sheetViews>
  <sheetFormatPr defaultColWidth="10" defaultRowHeight="15.6" customHeight="1" x14ac:dyDescent="0.3"/>
  <cols>
    <col min="1" max="1" width="13.33203125" bestFit="1" customWidth="1"/>
    <col min="2" max="2" width="13.6640625" bestFit="1" customWidth="1"/>
    <col min="3" max="3" width="15.33203125" bestFit="1" customWidth="1"/>
    <col min="6" max="6" width="15.6640625" bestFit="1" customWidth="1"/>
    <col min="7" max="7" width="10.77734375" bestFit="1" customWidth="1"/>
    <col min="8" max="8" width="17.6640625" bestFit="1" customWidth="1"/>
    <col min="9" max="9" width="11.88671875" bestFit="1" customWidth="1"/>
    <col min="12" max="12" width="19.88671875" bestFit="1" customWidth="1"/>
    <col min="13" max="13" width="23.21875" bestFit="1" customWidth="1"/>
  </cols>
  <sheetData>
    <row r="1" spans="1:14" ht="15.6" customHeight="1" thickBot="1" x14ac:dyDescent="0.35"/>
    <row r="2" spans="1:14" ht="22.8" thickBot="1" x14ac:dyDescent="0.5">
      <c r="B2" s="4" t="s">
        <v>8</v>
      </c>
      <c r="G2" s="6" t="s">
        <v>17</v>
      </c>
      <c r="M2" s="10" t="s">
        <v>24</v>
      </c>
    </row>
    <row r="4" spans="1:14" ht="15.6" customHeight="1" x14ac:dyDescent="0.45">
      <c r="A4" s="27" t="s">
        <v>0</v>
      </c>
      <c r="B4" s="28" t="s">
        <v>1</v>
      </c>
      <c r="C4" s="29" t="s">
        <v>7</v>
      </c>
      <c r="F4" s="19" t="s">
        <v>9</v>
      </c>
      <c r="G4" s="20" t="s">
        <v>10</v>
      </c>
      <c r="H4" s="20" t="s">
        <v>11</v>
      </c>
      <c r="I4" s="21" t="s">
        <v>16</v>
      </c>
      <c r="L4" s="35" t="s">
        <v>0</v>
      </c>
      <c r="M4" s="36" t="s">
        <v>1</v>
      </c>
      <c r="N4" s="37" t="s">
        <v>23</v>
      </c>
    </row>
    <row r="5" spans="1:14" ht="15.6" customHeight="1" x14ac:dyDescent="0.35">
      <c r="A5" s="25" t="s">
        <v>2</v>
      </c>
      <c r="B5" s="3">
        <v>45</v>
      </c>
      <c r="C5" s="26" t="str">
        <f>IF(B5&gt;40,"PASS","FAIL")</f>
        <v>PASS</v>
      </c>
      <c r="F5" s="17" t="s">
        <v>12</v>
      </c>
      <c r="G5" s="5">
        <v>55000</v>
      </c>
      <c r="H5" s="5">
        <v>95</v>
      </c>
      <c r="I5" s="18" t="str">
        <f>IF(AND(G5&gt;40000,H5&gt;=90), "yes","no")</f>
        <v>yes</v>
      </c>
      <c r="L5" s="33" t="s">
        <v>18</v>
      </c>
      <c r="M5" s="7">
        <v>85</v>
      </c>
      <c r="N5" s="34" t="str">
        <f>IF(M5&gt;=90,"A",IF(M5&gt;=75,"B",IF(M5&gt;=50,"C","FAIL")))</f>
        <v>B</v>
      </c>
    </row>
    <row r="6" spans="1:14" ht="15.6" customHeight="1" x14ac:dyDescent="0.35">
      <c r="A6" s="25" t="s">
        <v>3</v>
      </c>
      <c r="B6" s="3">
        <v>72</v>
      </c>
      <c r="C6" s="26" t="str">
        <f t="shared" ref="C6:C9" si="0">IF(B6&gt;40,"PASS","FAIL")</f>
        <v>PASS</v>
      </c>
      <c r="F6" s="17" t="s">
        <v>13</v>
      </c>
      <c r="G6" s="5">
        <v>65000</v>
      </c>
      <c r="H6" s="5">
        <v>85</v>
      </c>
      <c r="I6" s="18" t="str">
        <f t="shared" ref="I6:I8" si="1">IF(AND(G6&gt;40000,H6&gt;=90), "yes","no")</f>
        <v>no</v>
      </c>
      <c r="L6" s="33" t="s">
        <v>19</v>
      </c>
      <c r="M6" s="7">
        <v>96</v>
      </c>
      <c r="N6" s="34" t="str">
        <f t="shared" ref="N6:N9" si="2">IF(M6&gt;=90,"A",IF(M6&gt;=75,"B",IF(M6&gt;=50,"C","FAIL")))</f>
        <v>A</v>
      </c>
    </row>
    <row r="7" spans="1:14" ht="15.6" customHeight="1" x14ac:dyDescent="0.35">
      <c r="A7" s="25" t="s">
        <v>4</v>
      </c>
      <c r="B7" s="3">
        <v>55</v>
      </c>
      <c r="C7" s="26" t="str">
        <f t="shared" si="0"/>
        <v>PASS</v>
      </c>
      <c r="F7" s="17" t="s">
        <v>14</v>
      </c>
      <c r="G7" s="5">
        <v>30000</v>
      </c>
      <c r="H7" s="5">
        <v>90</v>
      </c>
      <c r="I7" s="18" t="str">
        <f t="shared" si="1"/>
        <v>no</v>
      </c>
      <c r="L7" s="33" t="s">
        <v>20</v>
      </c>
      <c r="M7" s="7">
        <v>57</v>
      </c>
      <c r="N7" s="34" t="str">
        <f t="shared" si="2"/>
        <v>C</v>
      </c>
    </row>
    <row r="8" spans="1:14" ht="15.6" customHeight="1" x14ac:dyDescent="0.35">
      <c r="A8" s="25" t="s">
        <v>5</v>
      </c>
      <c r="B8" s="3">
        <v>80</v>
      </c>
      <c r="C8" s="26" t="str">
        <f t="shared" si="0"/>
        <v>PASS</v>
      </c>
      <c r="F8" s="22" t="s">
        <v>15</v>
      </c>
      <c r="G8" s="23">
        <v>25000</v>
      </c>
      <c r="H8" s="23">
        <v>65</v>
      </c>
      <c r="I8" s="24" t="str">
        <f t="shared" si="1"/>
        <v>no</v>
      </c>
      <c r="L8" s="33" t="s">
        <v>21</v>
      </c>
      <c r="M8" s="7">
        <v>92</v>
      </c>
      <c r="N8" s="34" t="str">
        <f t="shared" si="2"/>
        <v>A</v>
      </c>
    </row>
    <row r="9" spans="1:14" ht="22.2" customHeight="1" x14ac:dyDescent="0.35">
      <c r="A9" s="30" t="s">
        <v>6</v>
      </c>
      <c r="B9" s="31">
        <v>30</v>
      </c>
      <c r="C9" s="32" t="str">
        <f t="shared" si="0"/>
        <v>FAIL</v>
      </c>
      <c r="L9" s="38" t="s">
        <v>22</v>
      </c>
      <c r="M9" s="39">
        <v>75</v>
      </c>
      <c r="N9" s="40" t="str">
        <f t="shared" si="2"/>
        <v>B</v>
      </c>
    </row>
    <row r="12" spans="1:14" ht="14.4" x14ac:dyDescent="0.3"/>
    <row r="13" spans="1:14" ht="10.199999999999999" customHeight="1" thickBot="1" x14ac:dyDescent="0.35"/>
    <row r="14" spans="1:14" ht="25.8" customHeight="1" thickBot="1" x14ac:dyDescent="0.5">
      <c r="M14" s="42" t="s">
        <v>40</v>
      </c>
    </row>
    <row r="15" spans="1:14" ht="22.8" thickBot="1" x14ac:dyDescent="0.5">
      <c r="E15" s="9" t="s">
        <v>37</v>
      </c>
    </row>
    <row r="16" spans="1:14" ht="15.6" customHeight="1" x14ac:dyDescent="0.3">
      <c r="L16" s="13" t="s">
        <v>38</v>
      </c>
      <c r="M16" s="14" t="s">
        <v>39</v>
      </c>
    </row>
    <row r="17" spans="4:15" ht="15.6" customHeight="1" thickBot="1" x14ac:dyDescent="0.35">
      <c r="D17" s="1" t="s">
        <v>25</v>
      </c>
      <c r="E17" s="1" t="s">
        <v>26</v>
      </c>
      <c r="F17" s="1" t="s">
        <v>27</v>
      </c>
      <c r="L17" s="11">
        <v>0</v>
      </c>
      <c r="M17" s="12">
        <v>0.05</v>
      </c>
    </row>
    <row r="18" spans="4:15" ht="15.6" customHeight="1" thickBot="1" x14ac:dyDescent="0.4">
      <c r="D18" s="2" t="s">
        <v>28</v>
      </c>
      <c r="E18" s="2" t="s">
        <v>4</v>
      </c>
      <c r="F18" s="2" t="s">
        <v>29</v>
      </c>
      <c r="L18" s="11">
        <v>20000</v>
      </c>
      <c r="M18" s="12">
        <v>0.1</v>
      </c>
      <c r="O18" s="41">
        <f>VLOOKUP(45000,Table6[],2,TRUE)</f>
        <v>0.1</v>
      </c>
    </row>
    <row r="19" spans="4:15" ht="15.6" customHeight="1" thickBot="1" x14ac:dyDescent="0.45">
      <c r="D19" s="2" t="s">
        <v>30</v>
      </c>
      <c r="E19" s="2" t="s">
        <v>2</v>
      </c>
      <c r="F19" s="2" t="s">
        <v>31</v>
      </c>
      <c r="H19" s="8" t="str">
        <f>VLOOKUP(D20,Table1[],3,FALSE)</f>
        <v>Finance</v>
      </c>
      <c r="L19" s="11">
        <v>50000</v>
      </c>
      <c r="M19" s="12">
        <v>0.15</v>
      </c>
    </row>
    <row r="20" spans="4:15" ht="15.6" customHeight="1" x14ac:dyDescent="0.3">
      <c r="D20" s="2" t="s">
        <v>32</v>
      </c>
      <c r="E20" s="2" t="s">
        <v>33</v>
      </c>
      <c r="F20" s="2" t="s">
        <v>34</v>
      </c>
      <c r="L20" s="15">
        <v>80000</v>
      </c>
      <c r="M20" s="16">
        <v>0.2</v>
      </c>
    </row>
    <row r="21" spans="4:15" ht="15.6" customHeight="1" x14ac:dyDescent="0.3">
      <c r="D21" s="2" t="s">
        <v>35</v>
      </c>
      <c r="E21" s="2" t="s">
        <v>36</v>
      </c>
      <c r="F21" s="2" t="s">
        <v>10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3BF6-821C-4D31-84EA-C2EA79C7CAD5}">
  <dimension ref="B1:P16"/>
  <sheetViews>
    <sheetView tabSelected="1" workbookViewId="0">
      <selection activeCell="I7" sqref="I7"/>
    </sheetView>
  </sheetViews>
  <sheetFormatPr defaultRowHeight="14.4" x14ac:dyDescent="0.3"/>
  <cols>
    <col min="2" max="2" width="16.44140625" customWidth="1"/>
    <col min="3" max="3" width="13.77734375" customWidth="1"/>
    <col min="4" max="4" width="15.5546875" customWidth="1"/>
    <col min="8" max="8" width="12.77734375" bestFit="1" customWidth="1"/>
  </cols>
  <sheetData>
    <row r="1" spans="2:16" ht="15" thickBot="1" x14ac:dyDescent="0.35"/>
    <row r="2" spans="2:16" ht="25.2" thickBot="1" x14ac:dyDescent="0.55000000000000004">
      <c r="C2" s="43" t="s">
        <v>48</v>
      </c>
      <c r="L2" s="45" t="s">
        <v>49</v>
      </c>
    </row>
    <row r="4" spans="2:16" ht="29.4" thickBot="1" x14ac:dyDescent="0.35">
      <c r="B4" s="1" t="s">
        <v>41</v>
      </c>
      <c r="C4" s="1" t="s">
        <v>42</v>
      </c>
      <c r="D4" s="1" t="s">
        <v>43</v>
      </c>
      <c r="E4" s="1" t="s">
        <v>47</v>
      </c>
      <c r="L4" s="1" t="s">
        <v>25</v>
      </c>
      <c r="M4" s="1" t="s">
        <v>50</v>
      </c>
    </row>
    <row r="5" spans="2:16" ht="16.2" thickBot="1" x14ac:dyDescent="0.4">
      <c r="B5" s="2" t="s">
        <v>44</v>
      </c>
      <c r="C5" s="2">
        <v>10</v>
      </c>
      <c r="D5" s="2">
        <v>12</v>
      </c>
      <c r="E5" s="2" t="str">
        <f>IF(Table7[[#This Row],[Leaves Taken]]&gt;Table7[[#This Row],[Leaves Allowed]],"Exceeded","OK")</f>
        <v>OK</v>
      </c>
      <c r="L5" s="2" t="s">
        <v>35</v>
      </c>
      <c r="M5" s="2">
        <v>55000</v>
      </c>
      <c r="P5" s="44">
        <f>INDEX(Table8[Salary],MATCH(L6,Table8[EmpID],0))</f>
        <v>72000</v>
      </c>
    </row>
    <row r="6" spans="2:16" x14ac:dyDescent="0.3">
      <c r="B6" s="2" t="s">
        <v>45</v>
      </c>
      <c r="C6" s="2">
        <v>10</v>
      </c>
      <c r="D6" s="2">
        <v>15</v>
      </c>
      <c r="E6" s="2" t="str">
        <f>IF(Table7[[#This Row],[Leaves Taken]]&gt;Table7[[#This Row],[Leaves Allowed]],"Exceeded","OK")</f>
        <v>OK</v>
      </c>
      <c r="L6" s="2" t="s">
        <v>51</v>
      </c>
      <c r="M6" s="2">
        <v>72000</v>
      </c>
    </row>
    <row r="7" spans="2:16" x14ac:dyDescent="0.3">
      <c r="B7" s="2" t="s">
        <v>46</v>
      </c>
      <c r="C7" s="2">
        <v>8</v>
      </c>
      <c r="D7" s="2">
        <v>12</v>
      </c>
      <c r="E7" s="2" t="str">
        <f>IF(Table7[[#This Row],[Leaves Taken]]&gt;Table7[[#This Row],[Leaves Allowed]],"Exceeded","OK")</f>
        <v>OK</v>
      </c>
      <c r="L7" s="2" t="s">
        <v>52</v>
      </c>
      <c r="M7" s="2">
        <v>62000</v>
      </c>
    </row>
    <row r="8" spans="2:16" x14ac:dyDescent="0.3">
      <c r="L8" s="2" t="s">
        <v>30</v>
      </c>
      <c r="M8" s="2">
        <v>41000</v>
      </c>
    </row>
    <row r="9" spans="2:16" ht="15" thickBot="1" x14ac:dyDescent="0.35"/>
    <row r="10" spans="2:16" ht="31.8" thickBot="1" x14ac:dyDescent="0.7">
      <c r="G10" s="47" t="s">
        <v>53</v>
      </c>
    </row>
    <row r="12" spans="2:16" ht="28.8" x14ac:dyDescent="0.3">
      <c r="G12" s="1" t="s">
        <v>25</v>
      </c>
      <c r="H12" s="1" t="s">
        <v>27</v>
      </c>
    </row>
    <row r="13" spans="2:16" ht="15" thickBot="1" x14ac:dyDescent="0.35">
      <c r="G13" s="2" t="s">
        <v>28</v>
      </c>
      <c r="H13" s="2" t="s">
        <v>31</v>
      </c>
    </row>
    <row r="14" spans="2:16" ht="21.6" thickBot="1" x14ac:dyDescent="0.45">
      <c r="G14" s="2" t="s">
        <v>54</v>
      </c>
      <c r="H14" s="2" t="s">
        <v>29</v>
      </c>
      <c r="K14" s="46" t="str">
        <f>_xlfn.XLOOKUP(Table9[[#This Row],[EmpID]],Table9[EmpID],Table9[Department])</f>
        <v>IT</v>
      </c>
    </row>
    <row r="15" spans="2:16" x14ac:dyDescent="0.3">
      <c r="G15" s="2" t="s">
        <v>52</v>
      </c>
      <c r="H15" s="2" t="s">
        <v>10</v>
      </c>
    </row>
    <row r="16" spans="2:16" x14ac:dyDescent="0.3">
      <c r="G16" s="2" t="s">
        <v>55</v>
      </c>
      <c r="H16" s="2" t="s">
        <v>34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Q1,Q2,Q3,Q4,Q5</vt:lpstr>
      <vt:lpstr>Q6,Q7,Q8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MEHTA</dc:creator>
  <cp:lastModifiedBy>ROSHAN MEHTA</cp:lastModifiedBy>
  <dcterms:created xsi:type="dcterms:W3CDTF">2026-01-16T15:37:11Z</dcterms:created>
  <dcterms:modified xsi:type="dcterms:W3CDTF">2026-01-16T17:01:05Z</dcterms:modified>
</cp:coreProperties>
</file>