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ink/ink1.xml" ContentType="application/inkml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322a1c909aff64/Documents/"/>
    </mc:Choice>
  </mc:AlternateContent>
  <xr:revisionPtr revIDLastSave="0" documentId="8_{1656B08B-2844-488C-B251-C1DE88AFB354}" xr6:coauthVersionLast="47" xr6:coauthVersionMax="47" xr10:uidLastSave="{00000000-0000-0000-0000-000000000000}"/>
  <bookViews>
    <workbookView xWindow="0" yWindow="408" windowWidth="22428" windowHeight="11832" activeTab="3" xr2:uid="{3AD3D1A9-A047-488D-9475-BFCD6EFA9572}"/>
  </bookViews>
  <sheets>
    <sheet name="ANS 2,3" sheetId="1" r:id="rId1"/>
    <sheet name="ANS 4,5,6" sheetId="2" r:id="rId2"/>
    <sheet name="ANS 7" sheetId="4" r:id="rId3"/>
    <sheet name="ANS 8" sheetId="5" r:id="rId4"/>
  </sheets>
  <definedNames>
    <definedName name="ExternalData_1" localSheetId="1" hidden="1">'ANS 4,5,6'!$A$1:$G$53</definedName>
  </definedNames>
  <calcPr calcId="191029"/>
  <pivotCaches>
    <pivotCache cacheId="10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J6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M47" i="2"/>
  <c r="J54" i="2"/>
  <c r="M36" i="2" s="1"/>
  <c r="J55" i="2"/>
  <c r="J51" i="2"/>
  <c r="J52" i="2"/>
  <c r="J53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7" i="2"/>
  <c r="J8" i="2"/>
  <c r="J9" i="2"/>
  <c r="J10" i="2"/>
  <c r="J11" i="2"/>
  <c r="J12" i="2"/>
  <c r="J13" i="2"/>
  <c r="J14" i="2"/>
  <c r="J15" i="2"/>
  <c r="J16" i="2"/>
  <c r="J17" i="2"/>
  <c r="J18" i="2"/>
  <c r="M12" i="2" s="1"/>
  <c r="J19" i="2"/>
  <c r="J20" i="2"/>
  <c r="J21" i="2"/>
  <c r="J22" i="2"/>
  <c r="J23" i="2"/>
  <c r="J24" i="2"/>
  <c r="J25" i="2"/>
  <c r="J26" i="2"/>
  <c r="J27" i="2"/>
  <c r="J28" i="2"/>
  <c r="J29" i="2"/>
  <c r="M6" i="2"/>
  <c r="J3" i="2"/>
  <c r="F11" i="1"/>
  <c r="F3" i="1"/>
  <c r="D3" i="1"/>
  <c r="D4" i="1"/>
  <c r="D5" i="1"/>
  <c r="M28" i="2" l="1"/>
  <c r="M46" i="2"/>
  <c r="M45" i="2"/>
  <c r="M44" i="2"/>
  <c r="M42" i="2"/>
  <c r="M43" i="2"/>
  <c r="M11" i="2"/>
  <c r="M41" i="2"/>
  <c r="M54" i="2"/>
  <c r="M39" i="2"/>
  <c r="M52" i="2"/>
  <c r="M51" i="2"/>
  <c r="M35" i="2"/>
  <c r="M23" i="2"/>
  <c r="M24" i="2"/>
  <c r="M40" i="2"/>
  <c r="M53" i="2"/>
  <c r="M38" i="2"/>
  <c r="M50" i="2"/>
  <c r="M29" i="2"/>
  <c r="M27" i="2"/>
  <c r="M10" i="2"/>
  <c r="M34" i="2"/>
  <c r="M9" i="2"/>
  <c r="M33" i="2"/>
  <c r="M8" i="2"/>
  <c r="M32" i="2"/>
  <c r="M7" i="2"/>
  <c r="M31" i="2"/>
  <c r="M30" i="2"/>
  <c r="M16" i="2"/>
  <c r="M26" i="2"/>
  <c r="M25" i="2"/>
  <c r="M22" i="2"/>
  <c r="M21" i="2"/>
  <c r="M20" i="2"/>
  <c r="M19" i="2"/>
  <c r="M18" i="2"/>
  <c r="M17" i="2"/>
  <c r="M15" i="2"/>
  <c r="M14" i="2"/>
  <c r="M13" i="2"/>
  <c r="M49" i="2"/>
  <c r="M37" i="2"/>
  <c r="M4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25733-4B7E-44D5-917B-459D5129E2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<sst xmlns="http://schemas.openxmlformats.org/spreadsheetml/2006/main" count="352" uniqueCount="122">
  <si>
    <t>Q2</t>
  </si>
  <si>
    <t>vehicle</t>
  </si>
  <si>
    <t>price</t>
  </si>
  <si>
    <t>sales</t>
  </si>
  <si>
    <t>car</t>
  </si>
  <si>
    <t>bicycle</t>
  </si>
  <si>
    <t>auto-rickshaw</t>
  </si>
  <si>
    <t>quantity   sold</t>
  </si>
  <si>
    <t>total sum</t>
  </si>
  <si>
    <t>Q3</t>
  </si>
  <si>
    <t>Items</t>
  </si>
  <si>
    <t xml:space="preserve"> item A</t>
  </si>
  <si>
    <t xml:space="preserve"> item B</t>
  </si>
  <si>
    <t xml:space="preserve"> item C</t>
  </si>
  <si>
    <t>AVG SALES, (100&lt;PRICE&gt;300)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</si>
  <si>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</si>
  <si>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</si>
  <si>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</si>
  <si>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</si>
  <si>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</si>
  <si>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</si>
  <si>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</si>
  <si>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</si>
  <si>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</si>
  <si>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</si>
  <si>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</si>
  <si>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</si>
  <si>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</si>
  <si>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</si>
  <si>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</si>
  <si>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</si>
  <si>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</si>
  <si>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</si>
  <si>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</si>
  <si>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</si>
  <si>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</si>
  <si>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</si>
  <si>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</si>
  <si>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</si>
  <si>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</si>
  <si>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</si>
  <si>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</si>
  <si>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</si>
  <si>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</si>
  <si>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</si>
  <si>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</si>
  <si>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</si>
  <si>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</si>
  <si>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</si>
  <si>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</si>
  <si>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</si>
  <si>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</si>
  <si>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</si>
  <si>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</si>
  <si>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</si>
  <si>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</si>
  <si>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</si>
  <si>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</si>
  <si>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</si>
  <si>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</si>
  <si>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</si>
  <si>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</si>
  <si>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</si>
  <si>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</si>
  <si>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</si>
  <si>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</si>
  <si>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</si>
  <si>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</si>
  <si>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</si>
  <si>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</si>
  <si>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</si>
  <si>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</si>
  <si>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</si>
  <si>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</si>
  <si>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</si>
  <si>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</si>
  <si>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</si>
  <si>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</si>
  <si>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</si>
  <si>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</si>
  <si>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</si>
  <si>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</si>
  <si>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</si>
  <si>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</si>
  <si>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</si>
  <si>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</si>
  <si>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</si>
  <si>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</si>
  <si>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</si>
  <si>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</si>
  <si>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</si>
  <si>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</si>
  <si>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</si>
  <si>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</si>
  <si>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</si>
  <si>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</si>
  <si>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</si>
  <si>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</si>
  <si>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</si>
  <si>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</si>
  <si>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</si>
  <si>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</si>
  <si>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</si>
  <si>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</si>
  <si>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</si>
  <si>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</si>
  <si>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</si>
  <si>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TOTAL  CUSTOMER  NO</t>
  </si>
  <si>
    <t>Q4.</t>
  </si>
  <si>
    <t>TOTAL SALES</t>
  </si>
  <si>
    <t>Q5.</t>
  </si>
  <si>
    <t>total sales (notebook,north)</t>
  </si>
  <si>
    <t>Q6.</t>
  </si>
  <si>
    <t>SALES</t>
  </si>
  <si>
    <t>Row Labels</t>
  </si>
  <si>
    <t>Grand Total</t>
  </si>
  <si>
    <t>Sum of SALES</t>
  </si>
  <si>
    <t>PRODUCTS</t>
  </si>
  <si>
    <t>DATE</t>
  </si>
  <si>
    <t>QTY</t>
  </si>
  <si>
    <t>PRICE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</si>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</sst>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DLaM Display"/>
    </font>
    <font>
      <sz val="11"/>
      <color theme="3" tint="0.249977111117893"/>
      <name val="Aptos Narrow"/>
      <family val="2"/>
      <scheme val="minor"/>
    </font>
    <font>
      <sz val="14"/>
      <color theme="1"/>
      <name val="ADLaM Display"/>
    </font>
    <font>
      <sz val="16"/>
      <color theme="3" tint="0.249977111117893"/>
      <name val="Aptos Black"/>
      <family val="2"/>
    </font>
    <font>
      <sz val="8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7"/>
      </left>
      <right style="thin">
        <color theme="7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0" fontId="0" fillId="0" borderId="0" xfId="0" applyBorder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2" borderId="0" xfId="0" applyFont="1" applyFill="1"/>
    <xf numFmtId="0" fontId="0" fillId="0" borderId="0" xfId="0" applyAlignment="1">
      <alignment horizontal="center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3" xfId="0" applyFont="1" applyBorder="1"/>
    <xf numFmtId="0" fontId="0" fillId="0" borderId="0" xfId="0" applyNumberFormat="1"/>
    <xf numFmtId="0" fontId="1" fillId="0" borderId="2" xfId="0" applyFont="1" applyBorder="1" applyAlignmen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3" borderId="10" xfId="0" applyFont="1" applyFill="1" applyBorder="1"/>
    <xf numFmtId="0" fontId="0" fillId="0" borderId="10" xfId="0" applyFont="1" applyBorder="1"/>
    <xf numFmtId="0" fontId="0" fillId="0" borderId="0" xfId="0" applyFill="1"/>
    <xf numFmtId="0" fontId="7" fillId="0" borderId="4" xfId="0" applyFont="1" applyFill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" borderId="9" xfId="0" applyNumberFormat="1" applyFont="1" applyFill="1" applyBorder="1"/>
    <xf numFmtId="0" fontId="0" fillId="0" borderId="9" xfId="0" applyNumberFormat="1" applyFont="1" applyBorder="1"/>
    <xf numFmtId="14" fontId="3" fillId="0" borderId="5" xfId="0" applyNumberFormat="1" applyFont="1" applyFill="1" applyBorder="1"/>
    <xf numFmtId="0" fontId="3" fillId="0" borderId="4" xfId="0" applyFont="1" applyFill="1" applyBorder="1"/>
    <xf numFmtId="14" fontId="3" fillId="0" borderId="5" xfId="0" applyNumberFormat="1" applyFont="1" applyFill="1" applyBorder="1" applyAlignment="1">
      <alignment horizontal="right"/>
    </xf>
    <xf numFmtId="0" fontId="0" fillId="0" borderId="11" xfId="0" pivotButton="1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11" xfId="0" applyNumberFormat="1" applyBorder="1"/>
    <xf numFmtId="14" fontId="0" fillId="0" borderId="11" xfId="0" applyNumberFormat="1" applyBorder="1" applyAlignment="1">
      <alignment horizontal="left"/>
    </xf>
  </cellXfs>
  <cellStyles count="1">
    <cellStyle name="Normal" xfId="0" builtinId="0"/>
  </cellStyles>
  <dxfs count="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7"/>
        </left>
        <right style="thin">
          <color theme="7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DLaM Display"/>
        <scheme val="none"/>
      </font>
    </dxf>
  </dxfs>
  <tableStyles count="1" defaultTableStyle="TableStyleMedium2" defaultPivotStyle="PivotStyleLight16">
    <tableStyle name="Invisible" pivot="0" table="0" count="0" xr9:uid="{EE153B02-5324-4FB7-852D-742A6A1719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[PW_ASSIGNMENT 1 EXC.xlsx]ANS 7!PivotTable4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13648293963255"/>
          <c:y val="0.15650119763195414"/>
          <c:w val="0.76349759405074369"/>
          <c:h val="0.524979314652349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'ANS 7'!$G$7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 7'!$F$8:$F$13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'ANS 7'!$G$8:$G$13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C-4F53-BF4C-E5DC1FB58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2540944"/>
        <c:axId val="1472541424"/>
      </c:barChart>
      <c:catAx>
        <c:axId val="147254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541424"/>
        <c:crosses val="autoZero"/>
        <c:auto val="1"/>
        <c:lblAlgn val="ctr"/>
        <c:lblOffset val="100"/>
        <c:noMultiLvlLbl val="0"/>
      </c:catAx>
      <c:valAx>
        <c:axId val="14725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5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[PW_ASSIGNMENT 1 EXC.xlsx]ANS 7!PivotTable4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52769339533134"/>
          <c:y val="0.27717373869932921"/>
          <c:w val="0.71155949256342954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'ANS 7'!$G$7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 7'!$F$8:$F$13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'ANS 7'!$G$8:$G$13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9-4C63-A412-0CA3696EE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813552"/>
        <c:axId val="1550811152"/>
      </c:barChart>
      <c:catAx>
        <c:axId val="155081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11152"/>
        <c:crosses val="autoZero"/>
        <c:auto val="1"/>
        <c:lblAlgn val="ctr"/>
        <c:lblOffset val="100"/>
        <c:noMultiLvlLbl val="0"/>
      </c:catAx>
      <c:valAx>
        <c:axId val="155081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1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[PW_ASSIGNMENT 1 EXC.xlsx]ANS 8!PivotTable5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 8'!$I$2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'ANS 8'!$H$3:$H$53</c:f>
              <c:strCache>
                <c:ptCount val="50"/>
                <c:pt idx="0">
                  <c:v>13-01-2024</c:v>
                </c:pt>
                <c:pt idx="1">
                  <c:v>13-02-2024</c:v>
                </c:pt>
                <c:pt idx="2">
                  <c:v>14-02-2024</c:v>
                </c:pt>
                <c:pt idx="3">
                  <c:v>15-01-2024</c:v>
                </c:pt>
                <c:pt idx="4">
                  <c:v>16-02-2024</c:v>
                </c:pt>
                <c:pt idx="5">
                  <c:v>17-01-2024</c:v>
                </c:pt>
                <c:pt idx="6">
                  <c:v>17-02-2024</c:v>
                </c:pt>
                <c:pt idx="7">
                  <c:v>18-01-2024</c:v>
                </c:pt>
                <c:pt idx="8">
                  <c:v>18-02-2024</c:v>
                </c:pt>
                <c:pt idx="9">
                  <c:v>19-01-2024</c:v>
                </c:pt>
                <c:pt idx="10">
                  <c:v>19-02-2024</c:v>
                </c:pt>
                <c:pt idx="11">
                  <c:v>20-01-2024</c:v>
                </c:pt>
                <c:pt idx="12">
                  <c:v>21-02-2024</c:v>
                </c:pt>
                <c:pt idx="13">
                  <c:v>22-01-2024</c:v>
                </c:pt>
                <c:pt idx="14">
                  <c:v>22-02-2024</c:v>
                </c:pt>
                <c:pt idx="15">
                  <c:v>23-01-2024</c:v>
                </c:pt>
                <c:pt idx="16">
                  <c:v>23-02-2024</c:v>
                </c:pt>
                <c:pt idx="17">
                  <c:v>24-01-2024</c:v>
                </c:pt>
                <c:pt idx="18">
                  <c:v>25-02-2024</c:v>
                </c:pt>
                <c:pt idx="19">
                  <c:v>26-01-2024</c:v>
                </c:pt>
                <c:pt idx="20">
                  <c:v>26-02-2024</c:v>
                </c:pt>
                <c:pt idx="21">
                  <c:v>27-02-2024</c:v>
                </c:pt>
                <c:pt idx="22">
                  <c:v>28-01-2024</c:v>
                </c:pt>
                <c:pt idx="23">
                  <c:v>28-02-2024</c:v>
                </c:pt>
                <c:pt idx="24">
                  <c:v>29-01-2024</c:v>
                </c:pt>
                <c:pt idx="25">
                  <c:v>30-01-2024</c:v>
                </c:pt>
                <c:pt idx="26">
                  <c:v>1/2/2024</c:v>
                </c:pt>
                <c:pt idx="27">
                  <c:v>1/3/2024</c:v>
                </c:pt>
                <c:pt idx="28">
                  <c:v>2/2/2024</c:v>
                </c:pt>
                <c:pt idx="29">
                  <c:v>2/3/2024</c:v>
                </c:pt>
                <c:pt idx="30">
                  <c:v>3/2/2024</c:v>
                </c:pt>
                <c:pt idx="31">
                  <c:v>3/3/2024</c:v>
                </c:pt>
                <c:pt idx="32">
                  <c:v>4/2/2024</c:v>
                </c:pt>
                <c:pt idx="33">
                  <c:v>4/3/2024</c:v>
                </c:pt>
                <c:pt idx="34">
                  <c:v>5/1/2024</c:v>
                </c:pt>
                <c:pt idx="35">
                  <c:v>5/3/2024</c:v>
                </c:pt>
                <c:pt idx="36">
                  <c:v>6/1/2024</c:v>
                </c:pt>
                <c:pt idx="37">
                  <c:v>6/2/2024</c:v>
                </c:pt>
                <c:pt idx="38">
                  <c:v>6/3/2024</c:v>
                </c:pt>
                <c:pt idx="39">
                  <c:v>7/1/2024</c:v>
                </c:pt>
                <c:pt idx="40">
                  <c:v>7/2/2024</c:v>
                </c:pt>
                <c:pt idx="41">
                  <c:v>7/3/2024</c:v>
                </c:pt>
                <c:pt idx="42">
                  <c:v>8/1/2024</c:v>
                </c:pt>
                <c:pt idx="43">
                  <c:v>8/2/2024</c:v>
                </c:pt>
                <c:pt idx="44">
                  <c:v>8/3/2024</c:v>
                </c:pt>
                <c:pt idx="45">
                  <c:v>9/2/2024</c:v>
                </c:pt>
                <c:pt idx="46">
                  <c:v>10/1/2024</c:v>
                </c:pt>
                <c:pt idx="47">
                  <c:v>10/2/2024</c:v>
                </c:pt>
                <c:pt idx="48">
                  <c:v>11/1/2024</c:v>
                </c:pt>
                <c:pt idx="49">
                  <c:v>12/2/2024</c:v>
                </c:pt>
              </c:strCache>
            </c:strRef>
          </c:cat>
          <c:val>
            <c:numRef>
              <c:f>'ANS 8'!$I$3:$I$53</c:f>
              <c:numCache>
                <c:formatCode>General</c:formatCode>
                <c:ptCount val="50"/>
                <c:pt idx="0">
                  <c:v>200</c:v>
                </c:pt>
                <c:pt idx="1">
                  <c:v>320</c:v>
                </c:pt>
                <c:pt idx="2">
                  <c:v>250</c:v>
                </c:pt>
                <c:pt idx="3">
                  <c:v>180</c:v>
                </c:pt>
                <c:pt idx="4">
                  <c:v>90</c:v>
                </c:pt>
                <c:pt idx="5">
                  <c:v>550</c:v>
                </c:pt>
                <c:pt idx="6">
                  <c:v>176</c:v>
                </c:pt>
                <c:pt idx="7">
                  <c:v>400</c:v>
                </c:pt>
                <c:pt idx="8">
                  <c:v>850</c:v>
                </c:pt>
                <c:pt idx="9">
                  <c:v>200</c:v>
                </c:pt>
                <c:pt idx="10">
                  <c:v>190</c:v>
                </c:pt>
                <c:pt idx="11">
                  <c:v>280</c:v>
                </c:pt>
                <c:pt idx="12">
                  <c:v>375</c:v>
                </c:pt>
                <c:pt idx="13">
                  <c:v>700</c:v>
                </c:pt>
                <c:pt idx="14">
                  <c:v>140</c:v>
                </c:pt>
                <c:pt idx="15">
                  <c:v>280</c:v>
                </c:pt>
                <c:pt idx="16">
                  <c:v>192</c:v>
                </c:pt>
                <c:pt idx="17">
                  <c:v>300</c:v>
                </c:pt>
                <c:pt idx="18">
                  <c:v>800</c:v>
                </c:pt>
                <c:pt idx="19">
                  <c:v>125</c:v>
                </c:pt>
                <c:pt idx="20">
                  <c:v>270</c:v>
                </c:pt>
                <c:pt idx="21">
                  <c:v>525</c:v>
                </c:pt>
                <c:pt idx="22">
                  <c:v>160</c:v>
                </c:pt>
                <c:pt idx="23">
                  <c:v>150</c:v>
                </c:pt>
                <c:pt idx="24">
                  <c:v>500</c:v>
                </c:pt>
                <c:pt idx="25">
                  <c:v>150</c:v>
                </c:pt>
                <c:pt idx="26">
                  <c:v>450</c:v>
                </c:pt>
                <c:pt idx="27">
                  <c:v>208</c:v>
                </c:pt>
                <c:pt idx="28">
                  <c:v>450</c:v>
                </c:pt>
                <c:pt idx="29">
                  <c:v>700</c:v>
                </c:pt>
                <c:pt idx="30">
                  <c:v>175</c:v>
                </c:pt>
                <c:pt idx="31">
                  <c:v>200</c:v>
                </c:pt>
                <c:pt idx="32">
                  <c:v>240</c:v>
                </c:pt>
                <c:pt idx="33">
                  <c:v>425</c:v>
                </c:pt>
                <c:pt idx="34">
                  <c:v>500</c:v>
                </c:pt>
                <c:pt idx="35">
                  <c:v>95</c:v>
                </c:pt>
                <c:pt idx="36">
                  <c:v>200</c:v>
                </c:pt>
                <c:pt idx="37">
                  <c:v>550</c:v>
                </c:pt>
                <c:pt idx="38">
                  <c:v>256</c:v>
                </c:pt>
                <c:pt idx="39">
                  <c:v>375</c:v>
                </c:pt>
                <c:pt idx="40">
                  <c:v>140</c:v>
                </c:pt>
                <c:pt idx="41">
                  <c:v>600</c:v>
                </c:pt>
                <c:pt idx="42">
                  <c:v>250</c:v>
                </c:pt>
                <c:pt idx="43">
                  <c:v>400</c:v>
                </c:pt>
                <c:pt idx="44">
                  <c:v>250</c:v>
                </c:pt>
                <c:pt idx="45">
                  <c:v>110</c:v>
                </c:pt>
                <c:pt idx="46">
                  <c:v>150</c:v>
                </c:pt>
                <c:pt idx="47">
                  <c:v>216</c:v>
                </c:pt>
                <c:pt idx="48">
                  <c:v>600</c:v>
                </c:pt>
                <c:pt idx="49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355-B185-EBAA67D88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4271424"/>
        <c:axId val="1144269024"/>
      </c:lineChart>
      <c:catAx>
        <c:axId val="11442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269024"/>
        <c:crosses val="autoZero"/>
        <c:auto val="1"/>
        <c:lblAlgn val="ctr"/>
        <c:lblOffset val="100"/>
        <c:noMultiLvlLbl val="0"/>
      </c:catAx>
      <c:valAx>
        <c:axId val="11442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2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577328</xdr:colOff>
      <xdr:row>2</xdr:row>
      <xdr:rowOff>161820</xdr:rowOff>
    </xdr:from>
    <xdr:to>
      <xdr:col>5</xdr:col>
      <xdr:colOff>59168</xdr:colOff>
      <xdr:row>2</xdr:row>
      <xdr:rowOff>161820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D60AAA7-AF9A-CBAE-1419-2F008FF6BFA3}"/>
            </a:ext>
          </a:extLst>
        </xdr:cNvPr>
        <xdr:cNvCxnSpPr/>
      </xdr:nvCxnSpPr>
      <xdr:spPr>
        <a:xfrm rot="-1941143">
          <a:off x="3739628" y="1030500"/>
          <a:ext cx="731520" cy="0"/>
        </a:xfrm>
        <a:prstGeom prst="line">
          <a:avLst/>
        </a:prstGeom>
        <a:solidFill>
          <a:srgbClr val="000000">
            <a:alpha val="5000"/>
          </a:srgbClr>
        </a:solidFill>
        <a:ln w="12600">
          <a:solidFill>
            <a:srgbClr val="000000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15060</xdr:colOff>
      <xdr:row>9</xdr:row>
      <xdr:rowOff>154860</xdr:rowOff>
    </xdr:from>
    <xdr:to>
      <xdr:col>5</xdr:col>
      <xdr:colOff>540</xdr:colOff>
      <xdr:row>10</xdr:row>
      <xdr:rowOff>175380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23A2795-1150-4406-7B1E-A005C45EACCE}"/>
                </a:ext>
              </a:extLst>
            </xdr14:cNvPr>
            <xdr14:cNvContentPartPr/>
          </xdr14:nvContentPartPr>
          <xdr14:nvPr macro=""/>
          <xdr14:xfrm>
            <a:off x="3177360" y="2067480"/>
            <a:ext cx="1235160" cy="38628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23A2795-1150-4406-7B1E-A005C45EAC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71240" y="2061360"/>
              <a:ext cx="1247400" cy="398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89016</xdr:colOff>
      <xdr:row>3</xdr:row>
      <xdr:rowOff>21475</xdr:rowOff>
    </xdr:from>
    <xdr:to>
      <xdr:col>15</xdr:col>
      <xdr:colOff>393816</xdr:colOff>
      <xdr:row>17</xdr:row>
      <xdr:rowOff>167294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F61FD-FB53-FD15-99AB-41B013A61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122612</xdr:colOff>
      <xdr:row>20</xdr:row>
      <xdr:rowOff>93171</xdr:rowOff>
    </xdr:from>
    <xdr:to>
      <xdr:col>17</xdr:col>
      <xdr:colOff>46412</xdr:colOff>
      <xdr:row>35</xdr:row>
      <xdr:rowOff>93171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573F28-13E2-7CB9-09B0-590C83793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3</xdr:row>
      <xdr:rowOff>26670</xdr:rowOff>
    </xdr:from>
    <xdr:to>
      <xdr:col>17</xdr:col>
      <xdr:colOff>171450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D7566-CB8F-C257-8B6E-73E6C0C3D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0T17:34:36.6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1072 24543,'3430'-1036'0,"-3633"1001"0,406 70 0,-353 106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N MEHTA" refreshedDate="46033.010204629631" createdVersion="8" refreshedVersion="8" minRefreshableVersion="3" recordCount="50" xr:uid="{8F2E656A-F613-4922-9CBB-9DBB25154A33}">
  <cacheSource type="worksheet">
    <worksheetSource name="Table4"/>
  </cacheSource>
  <cacheFields count="2">
    <cacheField name="Product" numFmtId="0">
      <sharedItems count="5">
        <s v="Notebook"/>
        <s v="Pen"/>
        <s v="Marker"/>
        <s v="Pencil"/>
        <s v="Eraser"/>
      </sharedItems>
    </cacheField>
    <cacheField name="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N MEHTA" refreshedDate="46033.027976736113" createdVersion="8" refreshedVersion="8" minRefreshableVersion="3" recordCount="50" xr:uid="{C26EA96A-BA17-4D3F-A34B-167487B9DC6D}">
  <cacheSource type="worksheet">
    <worksheetSource name="Table6"/>
  </cacheSource>
  <cacheFields count="5">
    <cacheField name="DATE" numFmtId="14">
      <sharedItems containsDate="1" containsMixedTypes="1" minDate="2024-01-02T00:00:00" maxDate="2024-12-03T00:00:00" count="50">
        <d v="2024-05-01T00:00:00"/>
        <d v="2024-06-01T00:00:00"/>
        <d v="2024-07-01T00:00:00"/>
        <d v="2024-08-01T00:00:00"/>
        <d v="2024-10-01T00:00:00"/>
        <d v="2024-11-01T00:00:00"/>
        <s v="13-01-2024"/>
        <s v="15-01-2024"/>
        <s v="17-01-2024"/>
        <s v="18-01-2024"/>
        <s v="19-01-2024"/>
        <s v="20-01-2024"/>
        <s v="22-01-2024"/>
        <s v="23-01-2024"/>
        <s v="24-01-2024"/>
        <s v="26-01-2024"/>
        <s v="28-01-2024"/>
        <s v="29-01-2024"/>
        <s v="30-01-2024"/>
        <d v="2024-01-02T00:00:00"/>
        <d v="2024-02-02T00:00:00"/>
        <d v="2024-03-02T00:00:00"/>
        <d v="2024-04-02T00:00:00"/>
        <d v="2024-06-02T00:00:00"/>
        <d v="2024-07-02T00:00:00"/>
        <d v="2024-08-02T00:00:00"/>
        <d v="2024-09-02T00:00:00"/>
        <d v="2024-10-02T00:00:00"/>
        <d v="2024-12-02T00:00:00"/>
        <s v="13-02-2024"/>
        <s v="14-02-2024"/>
        <s v="16-02-2024"/>
        <s v="17-02-2024"/>
        <s v="18-02-2024"/>
        <s v="19-02-2024"/>
        <s v="21-02-2024"/>
        <s v="22-02-2024"/>
        <s v="23-02-2024"/>
        <s v="25-02-2024"/>
        <s v="26-02-2024"/>
        <s v="27-02-2024"/>
        <s v="28-02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</sharedItems>
    </cacheField>
    <cacheField name="QTY" numFmtId="0">
      <sharedItems containsSemiMixedTypes="0" containsString="0" containsNumber="1" containsInteger="1" minValue="5" maxValue="40"/>
    </cacheField>
    <cacheField name="PRICE" numFmtId="0">
      <sharedItems containsSemiMixedTypes="0" containsString="0" containsNumber="1" containsInteger="1" minValue="5" maxValue="50"/>
    </cacheField>
    <cacheField name="PRODUCT" numFmtId="14">
      <sharedItems containsDate="1" containsMixedTypes="1" minDate="2024-01-02T00:00:00" maxDate="2024-12-03T00:00:00"/>
    </cacheField>
    <cacheField name="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500"/>
  </r>
  <r>
    <x v="1"/>
    <n v="200"/>
  </r>
  <r>
    <x v="2"/>
    <n v="375"/>
  </r>
  <r>
    <x v="0"/>
    <n v="250"/>
  </r>
  <r>
    <x v="3"/>
    <n v="150"/>
  </r>
  <r>
    <x v="0"/>
    <n v="600"/>
  </r>
  <r>
    <x v="4"/>
    <n v="200"/>
  </r>
  <r>
    <x v="1"/>
    <n v="180"/>
  </r>
  <r>
    <x v="2"/>
    <n v="550"/>
  </r>
  <r>
    <x v="0"/>
    <n v="400"/>
  </r>
  <r>
    <x v="3"/>
    <n v="200"/>
  </r>
  <r>
    <x v="4"/>
    <n v="280"/>
  </r>
  <r>
    <x v="0"/>
    <n v="700"/>
  </r>
  <r>
    <x v="1"/>
    <n v="280"/>
  </r>
  <r>
    <x v="2"/>
    <n v="300"/>
  </r>
  <r>
    <x v="3"/>
    <n v="125"/>
  </r>
  <r>
    <x v="4"/>
    <n v="160"/>
  </r>
  <r>
    <x v="0"/>
    <n v="500"/>
  </r>
  <r>
    <x v="1"/>
    <n v="150"/>
  </r>
  <r>
    <x v="2"/>
    <n v="450"/>
  </r>
  <r>
    <x v="0"/>
    <n v="450"/>
  </r>
  <r>
    <x v="3"/>
    <n v="175"/>
  </r>
  <r>
    <x v="4"/>
    <n v="240"/>
  </r>
  <r>
    <x v="0"/>
    <n v="550"/>
  </r>
  <r>
    <x v="1"/>
    <n v="140"/>
  </r>
  <r>
    <x v="2"/>
    <n v="400"/>
  </r>
  <r>
    <x v="3"/>
    <n v="110"/>
  </r>
  <r>
    <x v="4"/>
    <n v="216"/>
  </r>
  <r>
    <x v="0"/>
    <n v="650"/>
  </r>
  <r>
    <x v="1"/>
    <n v="320"/>
  </r>
  <r>
    <x v="2"/>
    <n v="250"/>
  </r>
  <r>
    <x v="3"/>
    <n v="90"/>
  </r>
  <r>
    <x v="4"/>
    <n v="176"/>
  </r>
  <r>
    <x v="0"/>
    <n v="850"/>
  </r>
  <r>
    <x v="1"/>
    <n v="190"/>
  </r>
  <r>
    <x v="2"/>
    <n v="375"/>
  </r>
  <r>
    <x v="3"/>
    <n v="140"/>
  </r>
  <r>
    <x v="4"/>
    <n v="192"/>
  </r>
  <r>
    <x v="0"/>
    <n v="800"/>
  </r>
  <r>
    <x v="1"/>
    <n v="270"/>
  </r>
  <r>
    <x v="2"/>
    <n v="525"/>
  </r>
  <r>
    <x v="3"/>
    <n v="150"/>
  </r>
  <r>
    <x v="4"/>
    <n v="208"/>
  </r>
  <r>
    <x v="0"/>
    <n v="700"/>
  </r>
  <r>
    <x v="1"/>
    <n v="200"/>
  </r>
  <r>
    <x v="2"/>
    <n v="425"/>
  </r>
  <r>
    <x v="3"/>
    <n v="95"/>
  </r>
  <r>
    <x v="4"/>
    <n v="256"/>
  </r>
  <r>
    <x v="0"/>
    <n v="600"/>
  </r>
  <r>
    <x v="1"/>
    <n v="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0"/>
    <n v="50"/>
    <d v="2024-05-01T00:00:00"/>
    <n v="500"/>
  </r>
  <r>
    <x v="1"/>
    <n v="20"/>
    <n v="10"/>
    <d v="2024-06-01T00:00:00"/>
    <n v="200"/>
  </r>
  <r>
    <x v="2"/>
    <n v="15"/>
    <n v="25"/>
    <d v="2024-07-01T00:00:00"/>
    <n v="375"/>
  </r>
  <r>
    <x v="3"/>
    <n v="5"/>
    <n v="50"/>
    <d v="2024-08-01T00:00:00"/>
    <n v="250"/>
  </r>
  <r>
    <x v="4"/>
    <n v="30"/>
    <n v="5"/>
    <d v="2024-10-01T00:00:00"/>
    <n v="150"/>
  </r>
  <r>
    <x v="5"/>
    <n v="12"/>
    <n v="50"/>
    <d v="2024-11-01T00:00:00"/>
    <n v="600"/>
  </r>
  <r>
    <x v="6"/>
    <n v="25"/>
    <n v="8"/>
    <s v="13-01-2024"/>
    <n v="200"/>
  </r>
  <r>
    <x v="7"/>
    <n v="18"/>
    <n v="10"/>
    <s v="15-01-2024"/>
    <n v="180"/>
  </r>
  <r>
    <x v="8"/>
    <n v="22"/>
    <n v="25"/>
    <s v="17-01-2024"/>
    <n v="550"/>
  </r>
  <r>
    <x v="9"/>
    <n v="8"/>
    <n v="50"/>
    <s v="18-01-2024"/>
    <n v="400"/>
  </r>
  <r>
    <x v="10"/>
    <n v="40"/>
    <n v="5"/>
    <s v="19-01-2024"/>
    <n v="200"/>
  </r>
  <r>
    <x v="11"/>
    <n v="35"/>
    <n v="8"/>
    <s v="20-01-2024"/>
    <n v="280"/>
  </r>
  <r>
    <x v="12"/>
    <n v="14"/>
    <n v="50"/>
    <s v="22-01-2024"/>
    <n v="700"/>
  </r>
  <r>
    <x v="13"/>
    <n v="28"/>
    <n v="10"/>
    <s v="23-01-2024"/>
    <n v="280"/>
  </r>
  <r>
    <x v="14"/>
    <n v="12"/>
    <n v="25"/>
    <s v="24-01-2024"/>
    <n v="300"/>
  </r>
  <r>
    <x v="15"/>
    <n v="25"/>
    <n v="5"/>
    <s v="26-01-2024"/>
    <n v="125"/>
  </r>
  <r>
    <x v="16"/>
    <n v="20"/>
    <n v="8"/>
    <s v="28-01-2024"/>
    <n v="160"/>
  </r>
  <r>
    <x v="17"/>
    <n v="10"/>
    <n v="50"/>
    <s v="29-01-2024"/>
    <n v="500"/>
  </r>
  <r>
    <x v="18"/>
    <n v="15"/>
    <n v="10"/>
    <s v="30-01-2024"/>
    <n v="150"/>
  </r>
  <r>
    <x v="19"/>
    <n v="18"/>
    <n v="25"/>
    <d v="2024-01-02T00:00:00"/>
    <n v="450"/>
  </r>
  <r>
    <x v="20"/>
    <n v="9"/>
    <n v="50"/>
    <d v="2024-02-02T00:00:00"/>
    <n v="450"/>
  </r>
  <r>
    <x v="21"/>
    <n v="35"/>
    <n v="5"/>
    <d v="2024-03-02T00:00:00"/>
    <n v="175"/>
  </r>
  <r>
    <x v="22"/>
    <n v="30"/>
    <n v="8"/>
    <d v="2024-04-02T00:00:00"/>
    <n v="240"/>
  </r>
  <r>
    <x v="23"/>
    <n v="11"/>
    <n v="50"/>
    <d v="2024-06-02T00:00:00"/>
    <n v="550"/>
  </r>
  <r>
    <x v="24"/>
    <n v="14"/>
    <n v="10"/>
    <d v="2024-07-02T00:00:00"/>
    <n v="140"/>
  </r>
  <r>
    <x v="25"/>
    <n v="16"/>
    <n v="25"/>
    <d v="2024-08-02T00:00:00"/>
    <n v="400"/>
  </r>
  <r>
    <x v="26"/>
    <n v="22"/>
    <n v="5"/>
    <d v="2024-09-02T00:00:00"/>
    <n v="110"/>
  </r>
  <r>
    <x v="27"/>
    <n v="27"/>
    <n v="8"/>
    <d v="2024-10-02T00:00:00"/>
    <n v="216"/>
  </r>
  <r>
    <x v="28"/>
    <n v="13"/>
    <n v="50"/>
    <d v="2024-12-02T00:00:00"/>
    <n v="650"/>
  </r>
  <r>
    <x v="29"/>
    <n v="32"/>
    <n v="10"/>
    <s v="13-02-2024"/>
    <n v="320"/>
  </r>
  <r>
    <x v="30"/>
    <n v="10"/>
    <n v="25"/>
    <s v="14-02-2024"/>
    <n v="250"/>
  </r>
  <r>
    <x v="31"/>
    <n v="18"/>
    <n v="5"/>
    <s v="16-02-2024"/>
    <n v="90"/>
  </r>
  <r>
    <x v="32"/>
    <n v="22"/>
    <n v="8"/>
    <s v="17-02-2024"/>
    <n v="176"/>
  </r>
  <r>
    <x v="33"/>
    <n v="17"/>
    <n v="50"/>
    <s v="18-02-2024"/>
    <n v="850"/>
  </r>
  <r>
    <x v="34"/>
    <n v="19"/>
    <n v="10"/>
    <s v="19-02-2024"/>
    <n v="190"/>
  </r>
  <r>
    <x v="35"/>
    <n v="15"/>
    <n v="25"/>
    <s v="21-02-2024"/>
    <n v="375"/>
  </r>
  <r>
    <x v="36"/>
    <n v="28"/>
    <n v="5"/>
    <s v="22-02-2024"/>
    <n v="140"/>
  </r>
  <r>
    <x v="37"/>
    <n v="24"/>
    <n v="8"/>
    <s v="23-02-2024"/>
    <n v="192"/>
  </r>
  <r>
    <x v="38"/>
    <n v="16"/>
    <n v="50"/>
    <s v="25-02-2024"/>
    <n v="800"/>
  </r>
  <r>
    <x v="39"/>
    <n v="27"/>
    <n v="10"/>
    <s v="26-02-2024"/>
    <n v="270"/>
  </r>
  <r>
    <x v="40"/>
    <n v="21"/>
    <n v="25"/>
    <s v="27-02-2024"/>
    <n v="525"/>
  </r>
  <r>
    <x v="41"/>
    <n v="30"/>
    <n v="5"/>
    <s v="28-02-2024"/>
    <n v="150"/>
  </r>
  <r>
    <x v="42"/>
    <n v="26"/>
    <n v="8"/>
    <d v="2024-01-03T00:00:00"/>
    <n v="208"/>
  </r>
  <r>
    <x v="43"/>
    <n v="14"/>
    <n v="50"/>
    <d v="2024-02-03T00:00:00"/>
    <n v="700"/>
  </r>
  <r>
    <x v="44"/>
    <n v="20"/>
    <n v="10"/>
    <d v="2024-03-03T00:00:00"/>
    <n v="200"/>
  </r>
  <r>
    <x v="45"/>
    <n v="17"/>
    <n v="25"/>
    <d v="2024-04-03T00:00:00"/>
    <n v="425"/>
  </r>
  <r>
    <x v="46"/>
    <n v="19"/>
    <n v="5"/>
    <d v="2024-05-03T00:00:00"/>
    <n v="95"/>
  </r>
  <r>
    <x v="47"/>
    <n v="32"/>
    <n v="8"/>
    <d v="2024-06-03T00:00:00"/>
    <n v="256"/>
  </r>
  <r>
    <x v="48"/>
    <n v="12"/>
    <n v="50"/>
    <d v="2024-07-03T00:00:00"/>
    <n v="600"/>
  </r>
  <r>
    <x v="49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01924-6B38-4CCC-AF8B-E0D5FEF8F691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F7:G13" firstHeaderRow="1" firstDataRow="1" firstDataCol="1"/>
  <pivotFields count="2">
    <pivotField axis="axisRow" showAll="0">
      <items count="6">
        <item x="4"/>
        <item x="2"/>
        <item x="0"/>
        <item x="1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6848A-6E18-4C78-811D-981AABCB582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ATE">
  <location ref="H2:I53" firstHeaderRow="1" firstDataRow="1" firstDataCol="1"/>
  <pivotFields count="5">
    <pivotField axis="axisRow" showAll="0">
      <items count="51">
        <item x="6"/>
        <item x="29"/>
        <item x="30"/>
        <item x="7"/>
        <item x="31"/>
        <item x="8"/>
        <item x="32"/>
        <item x="9"/>
        <item x="33"/>
        <item x="10"/>
        <item x="34"/>
        <item x="11"/>
        <item x="35"/>
        <item x="12"/>
        <item x="36"/>
        <item x="13"/>
        <item x="37"/>
        <item x="14"/>
        <item x="38"/>
        <item x="15"/>
        <item x="39"/>
        <item x="40"/>
        <item x="16"/>
        <item x="41"/>
        <item x="17"/>
        <item x="18"/>
        <item x="19"/>
        <item x="42"/>
        <item x="20"/>
        <item x="43"/>
        <item x="21"/>
        <item x="44"/>
        <item x="22"/>
        <item x="45"/>
        <item x="0"/>
        <item x="46"/>
        <item x="1"/>
        <item x="23"/>
        <item x="47"/>
        <item x="2"/>
        <item x="24"/>
        <item x="48"/>
        <item x="3"/>
        <item x="25"/>
        <item x="49"/>
        <item x="26"/>
        <item x="4"/>
        <item x="27"/>
        <item x="5"/>
        <item x="28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SALES" fld="4" baseField="0" baseItem="0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FDB904-D1A5-4DC6-9595-CFAC6577974A}" autoFormatId="16" applyNumberFormats="0" applyBorderFormats="0" applyFontFormats="0" applyPatternFormats="0" applyAlignmentFormats="0" applyWidthHeightFormats="0">
  <queryTableRefresh nextId="9">
    <queryTableFields count="7">
      <queryTableField id="1" name="OrderID" tableColumnId="1"/>
      <queryTableField id="2" name="CustomerName" tableColumnId="2"/>
      <queryTableField id="3" name="Region" tableColumnId="3"/>
      <queryTableField id="4" name="Product" tableColumnId="4"/>
      <queryTableField id="5" name="Quantity" tableColumnId="5"/>
      <queryTableField id="6" name="UnitPrice" tableColumnId="6"/>
      <queryTableField id="7" name="OrderDate" tableColumnId="7"/>
    </queryTableFields>
    <queryTableDeletedFields count="1">
      <deletedField name="Column8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B71A7-E469-4EAF-B6C7-50760AE6F26B}" name="Table1" displayName="Table1" ref="A2:D5" totalsRowShown="0" headerRowDxfId="30">
  <autoFilter ref="A2:D5" xr:uid="{36BB71A7-E469-4EAF-B6C7-50760AE6F26B}"/>
  <tableColumns count="4">
    <tableColumn id="1" xr3:uid="{BB1CEA43-989A-484E-9449-DA47887DCF79}" name="vehicle"/>
    <tableColumn id="2" xr3:uid="{8D665269-A636-4AE5-B884-04E142D35930}" name="price"/>
    <tableColumn id="3" xr3:uid="{014A7EB1-55E0-49C4-9095-19EEA34F3708}" name="quantity   sold"/>
    <tableColumn id="4" xr3:uid="{7966D6DB-0850-41E0-B8EA-A5607ADAED36}" name="sales">
      <calculatedColumnFormula>B3*C3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75F56-675B-4A01-83CD-173661616493}" name="Table2" displayName="Table2" ref="A9:C12" totalsRowShown="0" headerRowDxfId="25" dataDxfId="26">
  <autoFilter ref="A9:C12" xr:uid="{7F775F56-675B-4A01-83CD-173661616493}"/>
  <tableColumns count="3">
    <tableColumn id="1" xr3:uid="{9CDDD6F0-F5D9-40E9-A0DC-26255144AED7}" name="Items" dataDxfId="29"/>
    <tableColumn id="2" xr3:uid="{F1031F02-8FD6-4A06-B4AE-0C2DB0688A49}" name="price" dataDxfId="28"/>
    <tableColumn id="3" xr3:uid="{C85C6C7F-972C-426E-BD67-F34F5A7D4947}" name="sales" dataDxfId="2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A56C00-D4F2-439A-BD2A-EC5D910EAC7C}" name="Sheet1" displayName="Sheet1" ref="A1:G53" tableType="queryTable" totalsRowShown="0">
  <autoFilter ref="A1:G53" xr:uid="{B3A56C00-D4F2-439A-BD2A-EC5D910EAC7C}"/>
  <tableColumns count="7">
    <tableColumn id="1" xr3:uid="{0AEDE092-017C-4960-91DE-DF25E4AAA34D}" uniqueName="1" name="OrderID" queryTableFieldId="1"/>
    <tableColumn id="2" xr3:uid="{98A43729-9DCC-4691-8233-2A72BC1B1E70}" uniqueName="2" name="CustomerName" queryTableFieldId="2" dataDxfId="24"/>
    <tableColumn id="3" xr3:uid="{7B23AB34-A10B-4CDF-A4E4-40C29544A85D}" uniqueName="3" name="Region" queryTableFieldId="3" dataDxfId="23"/>
    <tableColumn id="4" xr3:uid="{4BE3D2AE-1828-4904-AAD2-E2B4589948B8}" uniqueName="4" name="Product" queryTableFieldId="4" dataDxfId="22"/>
    <tableColumn id="5" xr3:uid="{DD1ED228-2BF9-499B-846C-8CA2782F83D2}" uniqueName="5" name="Quantity" queryTableFieldId="5"/>
    <tableColumn id="6" xr3:uid="{3AEB7926-7CCA-49DB-9C12-3E6A859261D5}" uniqueName="6" name="UnitPrice" queryTableFieldId="6"/>
    <tableColumn id="7" xr3:uid="{68516C16-6BB1-41AA-80EC-62B9822E1B2C}" uniqueName="7" name="OrderDate" queryTableFieldId="7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CB2E7A-2487-4239-8796-36C60ADF009C}" name="Table5" displayName="Table5" ref="A3:B53" totalsRowShown="0">
  <autoFilter ref="A3:B53" xr:uid="{0ECB2E7A-2487-4239-8796-36C60ADF009C}"/>
  <tableColumns count="2">
    <tableColumn id="1" xr3:uid="{72896BA5-53A6-4CD6-8B69-70A2DE682C2D}" name="PRODUCTS" dataDxfId="20"/>
    <tableColumn id="2" xr3:uid="{92CF68CC-E0F1-42FC-9BC9-DCE13C7FFDB6}" name="SALES" dataDxfId="19">
      <calculatedColumnFormula>'ANS 4,5,6'!E2*'ANS 4,5,6'!F2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ACFEC4-61DC-4E08-8D07-A2DB54F1973F}" name="Table6" displayName="Table6" ref="B1:F51" totalsRowShown="0">
  <autoFilter ref="B1:F51" xr:uid="{83ACFEC4-61DC-4E08-8D07-A2DB54F1973F}"/>
  <tableColumns count="5">
    <tableColumn id="1" xr3:uid="{68DB7C97-0827-4CEE-A85F-0CF2763D8E07}" name="DATE" dataDxfId="17"/>
    <tableColumn id="2" xr3:uid="{F4DBB803-4BA3-40EB-9597-595CDAECF8AE}" name="QTY" dataDxfId="16"/>
    <tableColumn id="3" xr3:uid="{B2F14C4F-102D-4FF2-93A9-7AE02623CDD5}" name="PRICE" dataDxfId="15"/>
    <tableColumn id="4" xr3:uid="{1A2BC8E6-903A-4B8A-9C4A-AE3B7DC96345}" name="PRODUCT" dataDxfId="14"/>
    <tableColumn id="5" xr3:uid="{BAC821A0-887B-4CCE-8AE3-AB058B9D0738}" name="SALES" dataDxfId="18">
      <calculatedColumnFormula>Table6[[#This Row],[QTY]]*Table6[[#This Row],[PRICE]]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995A-1D4E-4CE9-94EF-330887FECD85}">
  <dimension ref="A1:I12"/>
  <sheetViews>
    <sheetView workbookViewId="0">
      <selection activeCell="C19" sqref="C19"/>
    </sheetView>
  </sheetViews>
  <sheetFormatPr defaultRowHeight="14.4" x14ac:dyDescent="0.3"/>
  <cols>
    <col min="1" max="1" width="12.44140625" bestFit="1" customWidth="1"/>
    <col min="2" max="2" width="11.77734375" customWidth="1"/>
    <col min="3" max="3" width="21.88671875" customWidth="1"/>
    <col min="4" max="4" width="9.33203125" customWidth="1"/>
    <col min="6" max="6" width="16.44140625" customWidth="1"/>
    <col min="9" max="9" width="8.88671875" style="2"/>
  </cols>
  <sheetData>
    <row r="1" spans="1:7" ht="21.6" thickBot="1" x14ac:dyDescent="0.45">
      <c r="B1" s="5" t="s">
        <v>0</v>
      </c>
    </row>
    <row r="2" spans="1:7" ht="19.2" x14ac:dyDescent="0.4">
      <c r="A2" s="1" t="s">
        <v>1</v>
      </c>
      <c r="B2" s="1" t="s">
        <v>2</v>
      </c>
      <c r="C2" s="3" t="s">
        <v>7</v>
      </c>
      <c r="D2" s="1" t="s">
        <v>3</v>
      </c>
      <c r="F2" s="8" t="s">
        <v>8</v>
      </c>
      <c r="G2" s="4"/>
    </row>
    <row r="3" spans="1:7" ht="16.2" thickBot="1" x14ac:dyDescent="0.4">
      <c r="A3" t="s">
        <v>4</v>
      </c>
      <c r="B3">
        <v>500000</v>
      </c>
      <c r="C3">
        <v>10</v>
      </c>
      <c r="D3">
        <f>B3*C3</f>
        <v>5000000</v>
      </c>
      <c r="F3" s="9">
        <f>SUM(Table1[[#This Row],[sales]],D4)</f>
        <v>5157500</v>
      </c>
      <c r="G3" s="4"/>
    </row>
    <row r="4" spans="1:7" x14ac:dyDescent="0.3">
      <c r="A4" t="s">
        <v>5</v>
      </c>
      <c r="B4">
        <v>10500</v>
      </c>
      <c r="C4">
        <v>15</v>
      </c>
      <c r="D4">
        <f t="shared" ref="D4:D5" si="0">B4*C4</f>
        <v>157500</v>
      </c>
      <c r="F4" s="4"/>
    </row>
    <row r="5" spans="1:7" x14ac:dyDescent="0.3">
      <c r="A5" t="s">
        <v>6</v>
      </c>
      <c r="B5">
        <v>25000</v>
      </c>
      <c r="C5">
        <v>29</v>
      </c>
      <c r="D5">
        <f t="shared" si="0"/>
        <v>725000</v>
      </c>
      <c r="F5" s="4"/>
    </row>
    <row r="8" spans="1:7" ht="21" x14ac:dyDescent="0.4">
      <c r="B8" s="5" t="s">
        <v>9</v>
      </c>
    </row>
    <row r="9" spans="1:7" ht="15" thickBot="1" x14ac:dyDescent="0.35">
      <c r="A9" s="6" t="s">
        <v>10</v>
      </c>
      <c r="B9" s="6" t="s">
        <v>2</v>
      </c>
      <c r="C9" s="6" t="s">
        <v>3</v>
      </c>
    </row>
    <row r="10" spans="1:7" ht="28.8" x14ac:dyDescent="0.3">
      <c r="A10" s="6" t="s">
        <v>11</v>
      </c>
      <c r="B10" s="6">
        <v>90</v>
      </c>
      <c r="C10" s="6">
        <v>1000</v>
      </c>
      <c r="F10" s="7" t="s">
        <v>14</v>
      </c>
    </row>
    <row r="11" spans="1:7" ht="15" thickBot="1" x14ac:dyDescent="0.35">
      <c r="A11" s="6" t="s">
        <v>12</v>
      </c>
      <c r="B11" s="6">
        <v>150</v>
      </c>
      <c r="C11" s="6">
        <v>1200</v>
      </c>
      <c r="F11" s="10">
        <f>AVERAGEIFS(Table2[sales],Table2[price],"&gt;100",Table2[price],"&lt;300")</f>
        <v>1350</v>
      </c>
    </row>
    <row r="12" spans="1:7" x14ac:dyDescent="0.3">
      <c r="A12" s="6" t="s">
        <v>13</v>
      </c>
      <c r="B12" s="6">
        <v>250</v>
      </c>
      <c r="C12" s="6">
        <v>1500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941D-E14D-48ED-A4F4-20D57676E6B0}">
  <dimension ref="A1:P55"/>
  <sheetViews>
    <sheetView topLeftCell="A23" zoomScale="89" zoomScaleNormal="89" workbookViewId="0">
      <selection activeCell="G2" sqref="G2:G51"/>
    </sheetView>
  </sheetViews>
  <sheetFormatPr defaultRowHeight="14.4" x14ac:dyDescent="0.3"/>
  <cols>
    <col min="1" max="1" width="9.77734375" bestFit="1" customWidth="1"/>
    <col min="2" max="2" width="16.44140625" bestFit="1" customWidth="1"/>
    <col min="3" max="3" width="8.77734375" bestFit="1" customWidth="1"/>
    <col min="4" max="4" width="9.77734375" bestFit="1" customWidth="1"/>
    <col min="5" max="5" width="10.33203125" bestFit="1" customWidth="1"/>
    <col min="6" max="6" width="11" bestFit="1" customWidth="1"/>
    <col min="7" max="7" width="11.88671875" style="13" bestFit="1" customWidth="1"/>
    <col min="8" max="8" width="11.88671875" style="13" customWidth="1"/>
    <col min="10" max="10" width="19.5546875" bestFit="1" customWidth="1"/>
    <col min="13" max="13" width="23.44140625" bestFit="1" customWidth="1"/>
    <col min="15" max="15" width="9.21875" style="23" customWidth="1"/>
  </cols>
  <sheetData>
    <row r="1" spans="1:16" ht="15" thickBot="1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s="13" t="s">
        <v>21</v>
      </c>
    </row>
    <row r="2" spans="1:16" x14ac:dyDescent="0.3">
      <c r="A2">
        <v>1001</v>
      </c>
      <c r="B2" s="11" t="s">
        <v>22</v>
      </c>
      <c r="C2" s="11" t="s">
        <v>23</v>
      </c>
      <c r="D2" s="11" t="s">
        <v>24</v>
      </c>
      <c r="E2">
        <v>10</v>
      </c>
      <c r="F2">
        <v>50</v>
      </c>
      <c r="G2" s="13">
        <v>45413</v>
      </c>
      <c r="I2" s="15" t="s">
        <v>108</v>
      </c>
      <c r="J2" s="12" t="s">
        <v>107</v>
      </c>
      <c r="O2" s="24"/>
      <c r="P2" s="25"/>
    </row>
    <row r="3" spans="1:16" ht="15" thickBot="1" x14ac:dyDescent="0.35">
      <c r="A3">
        <v>1002</v>
      </c>
      <c r="B3" s="11" t="s">
        <v>25</v>
      </c>
      <c r="C3" s="11" t="s">
        <v>26</v>
      </c>
      <c r="D3" s="11" t="s">
        <v>27</v>
      </c>
      <c r="E3">
        <v>20</v>
      </c>
      <c r="F3">
        <v>10</v>
      </c>
      <c r="G3" s="13">
        <v>45444</v>
      </c>
      <c r="I3" s="16"/>
      <c r="J3" s="10">
        <f>COUNTA(B2:B51)</f>
        <v>50</v>
      </c>
    </row>
    <row r="4" spans="1:16" ht="15" thickBot="1" x14ac:dyDescent="0.35">
      <c r="A4">
        <v>1003</v>
      </c>
      <c r="B4" s="11" t="s">
        <v>28</v>
      </c>
      <c r="C4" s="11" t="s">
        <v>29</v>
      </c>
      <c r="D4" s="11" t="s">
        <v>30</v>
      </c>
      <c r="E4">
        <v>15</v>
      </c>
      <c r="F4">
        <v>25</v>
      </c>
      <c r="G4" s="13">
        <v>45474</v>
      </c>
    </row>
    <row r="5" spans="1:16" ht="15" thickBot="1" x14ac:dyDescent="0.35">
      <c r="A5">
        <v>1004</v>
      </c>
      <c r="B5" s="11" t="s">
        <v>31</v>
      </c>
      <c r="C5" s="11" t="s">
        <v>32</v>
      </c>
      <c r="D5" s="11" t="s">
        <v>24</v>
      </c>
      <c r="E5">
        <v>5</v>
      </c>
      <c r="F5">
        <v>50</v>
      </c>
      <c r="G5" s="13">
        <v>45505</v>
      </c>
      <c r="I5" s="20" t="s">
        <v>110</v>
      </c>
      <c r="J5" s="17" t="s">
        <v>109</v>
      </c>
      <c r="L5" s="20" t="s">
        <v>112</v>
      </c>
      <c r="M5" s="19" t="s">
        <v>111</v>
      </c>
    </row>
    <row r="6" spans="1:16" x14ac:dyDescent="0.3">
      <c r="A6">
        <v>1005</v>
      </c>
      <c r="B6" s="11" t="s">
        <v>33</v>
      </c>
      <c r="C6" s="11" t="s">
        <v>23</v>
      </c>
      <c r="D6" s="11" t="s">
        <v>34</v>
      </c>
      <c r="E6">
        <v>30</v>
      </c>
      <c r="F6">
        <v>5</v>
      </c>
      <c r="G6" s="13">
        <v>45566</v>
      </c>
      <c r="J6" s="18">
        <f>E2*F2</f>
        <v>500</v>
      </c>
      <c r="M6" s="18">
        <f>SUMIFS(J6:J55,D2:D51,"notebook",C2:C51,"north")</f>
        <v>2900</v>
      </c>
    </row>
    <row r="7" spans="1:16" x14ac:dyDescent="0.3">
      <c r="A7">
        <v>1006</v>
      </c>
      <c r="B7" s="11" t="s">
        <v>35</v>
      </c>
      <c r="C7" s="11" t="s">
        <v>26</v>
      </c>
      <c r="D7" s="11" t="s">
        <v>24</v>
      </c>
      <c r="E7">
        <v>12</v>
      </c>
      <c r="F7">
        <v>50</v>
      </c>
      <c r="G7" s="13">
        <v>45597</v>
      </c>
      <c r="J7" s="18">
        <f>F3*E3</f>
        <v>200</v>
      </c>
      <c r="M7" s="18">
        <f>SUMIFS(J7:J56,D3:D52,"notebook",C3:C52,"north")</f>
        <v>2400</v>
      </c>
    </row>
    <row r="8" spans="1:16" x14ac:dyDescent="0.3">
      <c r="A8">
        <v>1007</v>
      </c>
      <c r="B8" s="11" t="s">
        <v>36</v>
      </c>
      <c r="C8" s="11" t="s">
        <v>29</v>
      </c>
      <c r="D8" s="11" t="s">
        <v>37</v>
      </c>
      <c r="E8">
        <v>25</v>
      </c>
      <c r="F8">
        <v>8</v>
      </c>
      <c r="G8" s="14" t="s">
        <v>38</v>
      </c>
      <c r="H8" s="14"/>
      <c r="J8" s="18">
        <f>F4*E4</f>
        <v>375</v>
      </c>
      <c r="M8" s="18">
        <f>SUMIFS(J8:J57,D4:D53,"notebook",C4:C53,"north")</f>
        <v>2400</v>
      </c>
    </row>
    <row r="9" spans="1:16" x14ac:dyDescent="0.3">
      <c r="A9">
        <v>1008</v>
      </c>
      <c r="B9" s="11" t="s">
        <v>39</v>
      </c>
      <c r="C9" s="11" t="s">
        <v>32</v>
      </c>
      <c r="D9" s="11" t="s">
        <v>27</v>
      </c>
      <c r="E9">
        <v>18</v>
      </c>
      <c r="F9">
        <v>10</v>
      </c>
      <c r="G9" s="14" t="s">
        <v>40</v>
      </c>
      <c r="H9" s="14"/>
      <c r="J9" s="18">
        <f>F5*E5</f>
        <v>250</v>
      </c>
      <c r="M9" s="18">
        <f>SUMIFS(J9:J58,D5:D54,"notebook",C5:C54,"north")</f>
        <v>2400</v>
      </c>
    </row>
    <row r="10" spans="1:16" x14ac:dyDescent="0.3">
      <c r="A10">
        <v>1009</v>
      </c>
      <c r="B10" s="11" t="s">
        <v>41</v>
      </c>
      <c r="C10" s="11" t="s">
        <v>23</v>
      </c>
      <c r="D10" s="11" t="s">
        <v>30</v>
      </c>
      <c r="E10">
        <v>22</v>
      </c>
      <c r="F10">
        <v>25</v>
      </c>
      <c r="G10" s="14" t="s">
        <v>42</v>
      </c>
      <c r="H10" s="14"/>
      <c r="J10" s="18">
        <f>F6*E6</f>
        <v>150</v>
      </c>
      <c r="M10" s="18">
        <f>SUMIFS(J10:J59,D6:D55,"notebook",C6:C55,"north")</f>
        <v>2400</v>
      </c>
    </row>
    <row r="11" spans="1:16" x14ac:dyDescent="0.3">
      <c r="A11">
        <v>1010</v>
      </c>
      <c r="B11" s="11" t="s">
        <v>43</v>
      </c>
      <c r="C11" s="11" t="s">
        <v>26</v>
      </c>
      <c r="D11" s="11" t="s">
        <v>24</v>
      </c>
      <c r="E11">
        <v>8</v>
      </c>
      <c r="F11">
        <v>50</v>
      </c>
      <c r="G11" s="14" t="s">
        <v>44</v>
      </c>
      <c r="H11" s="14"/>
      <c r="J11" s="18">
        <f>F7*E7</f>
        <v>600</v>
      </c>
      <c r="M11" s="18">
        <f>SUMIFS(J11:J60,D7:D56,"notebook",C7:C56,"north")</f>
        <v>2400</v>
      </c>
    </row>
    <row r="12" spans="1:16" x14ac:dyDescent="0.3">
      <c r="A12">
        <v>1011</v>
      </c>
      <c r="B12" s="11" t="s">
        <v>45</v>
      </c>
      <c r="C12" s="11" t="s">
        <v>29</v>
      </c>
      <c r="D12" s="11" t="s">
        <v>34</v>
      </c>
      <c r="E12">
        <v>40</v>
      </c>
      <c r="F12">
        <v>5</v>
      </c>
      <c r="G12" s="14" t="s">
        <v>46</v>
      </c>
      <c r="H12" s="14"/>
      <c r="J12" s="18">
        <f>F8*E8</f>
        <v>200</v>
      </c>
      <c r="M12" s="18">
        <f>SUMIFS(J12:J61,D8:D57,"notebook",C8:C57,"north")</f>
        <v>2400</v>
      </c>
    </row>
    <row r="13" spans="1:16" x14ac:dyDescent="0.3">
      <c r="A13">
        <v>1012</v>
      </c>
      <c r="B13" s="11" t="s">
        <v>47</v>
      </c>
      <c r="C13" s="11" t="s">
        <v>32</v>
      </c>
      <c r="D13" s="11" t="s">
        <v>37</v>
      </c>
      <c r="E13">
        <v>35</v>
      </c>
      <c r="F13">
        <v>8</v>
      </c>
      <c r="G13" s="14" t="s">
        <v>48</v>
      </c>
      <c r="H13" s="14"/>
      <c r="J13" s="18">
        <f>F9*E9</f>
        <v>180</v>
      </c>
      <c r="M13" s="18">
        <f>SUMIFS(J13:J62,D9:D58,"notebook",C9:C58,"north")</f>
        <v>2400</v>
      </c>
    </row>
    <row r="14" spans="1:16" x14ac:dyDescent="0.3">
      <c r="A14">
        <v>1013</v>
      </c>
      <c r="B14" s="11" t="s">
        <v>49</v>
      </c>
      <c r="C14" s="11" t="s">
        <v>23</v>
      </c>
      <c r="D14" s="11" t="s">
        <v>24</v>
      </c>
      <c r="E14">
        <v>14</v>
      </c>
      <c r="F14">
        <v>50</v>
      </c>
      <c r="G14" s="14" t="s">
        <v>50</v>
      </c>
      <c r="H14" s="14"/>
      <c r="J14" s="18">
        <f>F10*E10</f>
        <v>550</v>
      </c>
      <c r="M14" s="18">
        <f>SUMIFS(J14:J63,D10:D59,"notebook",C10:C59,"north")</f>
        <v>2400</v>
      </c>
    </row>
    <row r="15" spans="1:16" x14ac:dyDescent="0.3">
      <c r="A15">
        <v>1014</v>
      </c>
      <c r="B15" s="11" t="s">
        <v>51</v>
      </c>
      <c r="C15" s="11" t="s">
        <v>26</v>
      </c>
      <c r="D15" s="11" t="s">
        <v>27</v>
      </c>
      <c r="E15">
        <v>28</v>
      </c>
      <c r="F15">
        <v>10</v>
      </c>
      <c r="G15" s="14" t="s">
        <v>52</v>
      </c>
      <c r="H15" s="14"/>
      <c r="J15" s="18">
        <f>F11*E11</f>
        <v>400</v>
      </c>
      <c r="M15" s="18">
        <f>SUMIFS(J15:J64,D11:D60,"notebook",C11:C60,"north")</f>
        <v>2400</v>
      </c>
    </row>
    <row r="16" spans="1:16" x14ac:dyDescent="0.3">
      <c r="A16">
        <v>1015</v>
      </c>
      <c r="B16" s="11" t="s">
        <v>53</v>
      </c>
      <c r="C16" s="11" t="s">
        <v>29</v>
      </c>
      <c r="D16" s="11" t="s">
        <v>30</v>
      </c>
      <c r="E16">
        <v>12</v>
      </c>
      <c r="F16">
        <v>25</v>
      </c>
      <c r="G16" s="14" t="s">
        <v>54</v>
      </c>
      <c r="H16" s="14"/>
      <c r="J16" s="18">
        <f>F12*E12</f>
        <v>200</v>
      </c>
      <c r="M16" s="18">
        <f>SUMIFS(J16:J65,D12:D61,"notebook",C12:C61,"north")</f>
        <v>2400</v>
      </c>
    </row>
    <row r="17" spans="1:13" x14ac:dyDescent="0.3">
      <c r="A17">
        <v>1016</v>
      </c>
      <c r="B17" s="11" t="s">
        <v>55</v>
      </c>
      <c r="C17" s="11" t="s">
        <v>32</v>
      </c>
      <c r="D17" s="11" t="s">
        <v>34</v>
      </c>
      <c r="E17">
        <v>25</v>
      </c>
      <c r="F17">
        <v>5</v>
      </c>
      <c r="G17" s="14" t="s">
        <v>56</v>
      </c>
      <c r="H17" s="14"/>
      <c r="J17" s="18">
        <f>F13*E13</f>
        <v>280</v>
      </c>
      <c r="M17" s="18">
        <f>SUMIFS(J17:J66,D13:D62,"notebook",C13:C62,"north")</f>
        <v>2400</v>
      </c>
    </row>
    <row r="18" spans="1:13" x14ac:dyDescent="0.3">
      <c r="A18">
        <v>1017</v>
      </c>
      <c r="B18" s="11" t="s">
        <v>57</v>
      </c>
      <c r="C18" s="11" t="s">
        <v>23</v>
      </c>
      <c r="D18" s="11" t="s">
        <v>37</v>
      </c>
      <c r="E18">
        <v>20</v>
      </c>
      <c r="F18">
        <v>8</v>
      </c>
      <c r="G18" s="14" t="s">
        <v>58</v>
      </c>
      <c r="H18" s="14"/>
      <c r="J18" s="18">
        <f>F14*E14</f>
        <v>700</v>
      </c>
      <c r="M18" s="18">
        <f>SUMIFS(J18:J67,D14:D63,"notebook",C14:C63,"north")</f>
        <v>2400</v>
      </c>
    </row>
    <row r="19" spans="1:13" x14ac:dyDescent="0.3">
      <c r="A19">
        <v>1018</v>
      </c>
      <c r="B19" s="11" t="s">
        <v>59</v>
      </c>
      <c r="C19" s="11" t="s">
        <v>26</v>
      </c>
      <c r="D19" s="11" t="s">
        <v>24</v>
      </c>
      <c r="E19">
        <v>10</v>
      </c>
      <c r="F19">
        <v>50</v>
      </c>
      <c r="G19" s="14" t="s">
        <v>60</v>
      </c>
      <c r="H19" s="14"/>
      <c r="J19" s="18">
        <f>F15*E15</f>
        <v>280</v>
      </c>
      <c r="M19" s="18">
        <f>SUMIFS(J19:J68,D15:D64,"notebook",C15:C64,"north")</f>
        <v>1700</v>
      </c>
    </row>
    <row r="20" spans="1:13" x14ac:dyDescent="0.3">
      <c r="A20">
        <v>1019</v>
      </c>
      <c r="B20" s="11" t="s">
        <v>61</v>
      </c>
      <c r="C20" s="11" t="s">
        <v>29</v>
      </c>
      <c r="D20" s="11" t="s">
        <v>27</v>
      </c>
      <c r="E20">
        <v>15</v>
      </c>
      <c r="F20">
        <v>10</v>
      </c>
      <c r="G20" s="14" t="s">
        <v>62</v>
      </c>
      <c r="H20" s="14"/>
      <c r="J20" s="18">
        <f>F16*E16</f>
        <v>300</v>
      </c>
      <c r="M20" s="18">
        <f>SUMIFS(J20:J69,D16:D65,"notebook",C16:C65,"north")</f>
        <v>1700</v>
      </c>
    </row>
    <row r="21" spans="1:13" x14ac:dyDescent="0.3">
      <c r="A21">
        <v>1020</v>
      </c>
      <c r="B21" s="11" t="s">
        <v>63</v>
      </c>
      <c r="C21" s="11" t="s">
        <v>32</v>
      </c>
      <c r="D21" s="11" t="s">
        <v>30</v>
      </c>
      <c r="E21">
        <v>18</v>
      </c>
      <c r="F21">
        <v>25</v>
      </c>
      <c r="G21" s="13">
        <v>45293</v>
      </c>
      <c r="J21" s="18">
        <f>F17*E17</f>
        <v>125</v>
      </c>
      <c r="M21" s="18">
        <f>SUMIFS(J21:J70,D17:D66,"notebook",C17:C66,"north")</f>
        <v>1700</v>
      </c>
    </row>
    <row r="22" spans="1:13" x14ac:dyDescent="0.3">
      <c r="A22">
        <v>1021</v>
      </c>
      <c r="B22" s="11" t="s">
        <v>64</v>
      </c>
      <c r="C22" s="11" t="s">
        <v>23</v>
      </c>
      <c r="D22" s="11" t="s">
        <v>24</v>
      </c>
      <c r="E22">
        <v>9</v>
      </c>
      <c r="F22">
        <v>50</v>
      </c>
      <c r="G22" s="13">
        <v>45324</v>
      </c>
      <c r="J22" s="18">
        <f>F18*E18</f>
        <v>160</v>
      </c>
      <c r="M22" s="18">
        <f>SUMIFS(J22:J71,D18:D67,"notebook",C18:C67,"north")</f>
        <v>1700</v>
      </c>
    </row>
    <row r="23" spans="1:13" x14ac:dyDescent="0.3">
      <c r="A23">
        <v>1022</v>
      </c>
      <c r="B23" s="11" t="s">
        <v>65</v>
      </c>
      <c r="C23" s="11" t="s">
        <v>26</v>
      </c>
      <c r="D23" s="11" t="s">
        <v>34</v>
      </c>
      <c r="E23">
        <v>35</v>
      </c>
      <c r="F23">
        <v>5</v>
      </c>
      <c r="G23" s="13">
        <v>45353</v>
      </c>
      <c r="J23" s="18">
        <f>F19*E19</f>
        <v>500</v>
      </c>
      <c r="M23" s="18">
        <f>SUMIFS(J23:J72,D19:D68,"notebook",C19:C68,"north")</f>
        <v>1700</v>
      </c>
    </row>
    <row r="24" spans="1:13" x14ac:dyDescent="0.3">
      <c r="A24">
        <v>1023</v>
      </c>
      <c r="B24" s="11" t="s">
        <v>66</v>
      </c>
      <c r="C24" s="11" t="s">
        <v>29</v>
      </c>
      <c r="D24" s="11" t="s">
        <v>37</v>
      </c>
      <c r="E24">
        <v>30</v>
      </c>
      <c r="F24">
        <v>8</v>
      </c>
      <c r="G24" s="13">
        <v>45384</v>
      </c>
      <c r="J24" s="18">
        <f>F20*E20</f>
        <v>150</v>
      </c>
      <c r="M24" s="18">
        <f>SUMIFS(J24:J73,D20:D69,"notebook",C20:C69,"north")</f>
        <v>1700</v>
      </c>
    </row>
    <row r="25" spans="1:13" x14ac:dyDescent="0.3">
      <c r="A25">
        <v>1024</v>
      </c>
      <c r="B25" s="11" t="s">
        <v>67</v>
      </c>
      <c r="C25" s="11" t="s">
        <v>32</v>
      </c>
      <c r="D25" s="11" t="s">
        <v>24</v>
      </c>
      <c r="E25">
        <v>11</v>
      </c>
      <c r="F25">
        <v>50</v>
      </c>
      <c r="G25" s="13">
        <v>45445</v>
      </c>
      <c r="J25" s="18">
        <f>F21*E21</f>
        <v>450</v>
      </c>
      <c r="M25" s="18">
        <f>SUMIFS(J25:J74,D21:D70,"notebook",C21:C70,"north")</f>
        <v>1700</v>
      </c>
    </row>
    <row r="26" spans="1:13" x14ac:dyDescent="0.3">
      <c r="A26">
        <v>1025</v>
      </c>
      <c r="B26" s="11" t="s">
        <v>68</v>
      </c>
      <c r="C26" s="11" t="s">
        <v>23</v>
      </c>
      <c r="D26" s="11" t="s">
        <v>27</v>
      </c>
      <c r="E26">
        <v>14</v>
      </c>
      <c r="F26">
        <v>10</v>
      </c>
      <c r="G26" s="13">
        <v>45475</v>
      </c>
      <c r="J26" s="18">
        <f>F22*E22</f>
        <v>450</v>
      </c>
      <c r="M26" s="18">
        <f>SUMIFS(J26:J75,D22:D71,"notebook",C22:C71,"north")</f>
        <v>1700</v>
      </c>
    </row>
    <row r="27" spans="1:13" x14ac:dyDescent="0.3">
      <c r="A27">
        <v>1026</v>
      </c>
      <c r="B27" s="11" t="s">
        <v>69</v>
      </c>
      <c r="C27" s="11" t="s">
        <v>26</v>
      </c>
      <c r="D27" s="11" t="s">
        <v>30</v>
      </c>
      <c r="E27">
        <v>16</v>
      </c>
      <c r="F27">
        <v>25</v>
      </c>
      <c r="G27" s="13">
        <v>45506</v>
      </c>
      <c r="J27" s="18">
        <f>F23*E23</f>
        <v>175</v>
      </c>
      <c r="M27" s="18">
        <f>SUMIFS(J27:J76,D23:D72,"notebook",C23:C72,"north")</f>
        <v>1250</v>
      </c>
    </row>
    <row r="28" spans="1:13" x14ac:dyDescent="0.3">
      <c r="A28">
        <v>1027</v>
      </c>
      <c r="B28" s="11" t="s">
        <v>70</v>
      </c>
      <c r="C28" s="11" t="s">
        <v>29</v>
      </c>
      <c r="D28" s="11" t="s">
        <v>34</v>
      </c>
      <c r="E28">
        <v>22</v>
      </c>
      <c r="F28">
        <v>5</v>
      </c>
      <c r="G28" s="13">
        <v>45537</v>
      </c>
      <c r="J28" s="18">
        <f>F24*E24</f>
        <v>240</v>
      </c>
      <c r="M28" s="18">
        <f>SUMIFS(J28:J77,D24:D73,"notebook",C24:C73,"north")</f>
        <v>1250</v>
      </c>
    </row>
    <row r="29" spans="1:13" x14ac:dyDescent="0.3">
      <c r="A29">
        <v>1028</v>
      </c>
      <c r="B29" s="11" t="s">
        <v>71</v>
      </c>
      <c r="C29" s="11" t="s">
        <v>32</v>
      </c>
      <c r="D29" s="11" t="s">
        <v>37</v>
      </c>
      <c r="E29">
        <v>27</v>
      </c>
      <c r="F29">
        <v>8</v>
      </c>
      <c r="G29" s="13">
        <v>45567</v>
      </c>
      <c r="J29" s="18">
        <f>F25*E25</f>
        <v>550</v>
      </c>
      <c r="M29" s="18">
        <f>SUMIFS(J29:J78,D25:D74,"notebook",C25:C74,"north")</f>
        <v>1250</v>
      </c>
    </row>
    <row r="30" spans="1:13" x14ac:dyDescent="0.3">
      <c r="A30">
        <v>1029</v>
      </c>
      <c r="B30" s="11" t="s">
        <v>72</v>
      </c>
      <c r="C30" s="11" t="s">
        <v>23</v>
      </c>
      <c r="D30" s="11" t="s">
        <v>24</v>
      </c>
      <c r="E30">
        <v>13</v>
      </c>
      <c r="F30">
        <v>50</v>
      </c>
      <c r="G30" s="13">
        <v>45628</v>
      </c>
      <c r="J30" s="18">
        <f>F26*E26</f>
        <v>140</v>
      </c>
      <c r="M30" s="18">
        <f>SUMIFS(J30:J79,D26:D75,"notebook",C26:C75,"north")</f>
        <v>1250</v>
      </c>
    </row>
    <row r="31" spans="1:13" x14ac:dyDescent="0.3">
      <c r="A31">
        <v>1030</v>
      </c>
      <c r="B31" s="11" t="s">
        <v>73</v>
      </c>
      <c r="C31" s="11" t="s">
        <v>26</v>
      </c>
      <c r="D31" s="11" t="s">
        <v>27</v>
      </c>
      <c r="E31">
        <v>32</v>
      </c>
      <c r="F31">
        <v>10</v>
      </c>
      <c r="G31" s="13" t="s">
        <v>74</v>
      </c>
      <c r="J31" s="18">
        <f>F27*E27</f>
        <v>400</v>
      </c>
      <c r="M31" s="18">
        <f>SUMIFS(J31:J80,D27:D76,"notebook",C27:C76,"north")</f>
        <v>1250</v>
      </c>
    </row>
    <row r="32" spans="1:13" x14ac:dyDescent="0.3">
      <c r="A32">
        <v>1031</v>
      </c>
      <c r="B32" s="11" t="s">
        <v>75</v>
      </c>
      <c r="C32" s="11" t="s">
        <v>29</v>
      </c>
      <c r="D32" s="11" t="s">
        <v>30</v>
      </c>
      <c r="E32">
        <v>10</v>
      </c>
      <c r="F32">
        <v>25</v>
      </c>
      <c r="G32" s="13" t="s">
        <v>76</v>
      </c>
      <c r="J32" s="18">
        <f>F28*E28</f>
        <v>110</v>
      </c>
      <c r="M32" s="18">
        <f>SUMIFS(J32:J81,D28:D77,"notebook",C28:C77,"north")</f>
        <v>1250</v>
      </c>
    </row>
    <row r="33" spans="1:13" x14ac:dyDescent="0.3">
      <c r="A33">
        <v>1032</v>
      </c>
      <c r="B33" s="11" t="s">
        <v>77</v>
      </c>
      <c r="C33" s="11" t="s">
        <v>32</v>
      </c>
      <c r="D33" s="11" t="s">
        <v>34</v>
      </c>
      <c r="E33">
        <v>18</v>
      </c>
      <c r="F33">
        <v>5</v>
      </c>
      <c r="G33" s="13" t="s">
        <v>78</v>
      </c>
      <c r="J33" s="18">
        <f>F29*E29</f>
        <v>216</v>
      </c>
      <c r="M33" s="18">
        <f>SUMIFS(J33:J82,D29:D78,"notebook",C29:C78,"north")</f>
        <v>1250</v>
      </c>
    </row>
    <row r="34" spans="1:13" x14ac:dyDescent="0.3">
      <c r="A34">
        <v>1033</v>
      </c>
      <c r="B34" s="11" t="s">
        <v>79</v>
      </c>
      <c r="C34" s="11" t="s">
        <v>23</v>
      </c>
      <c r="D34" s="11" t="s">
        <v>37</v>
      </c>
      <c r="E34">
        <v>22</v>
      </c>
      <c r="F34">
        <v>8</v>
      </c>
      <c r="G34" s="13" t="s">
        <v>80</v>
      </c>
      <c r="J34" s="18">
        <f>F30*E30</f>
        <v>650</v>
      </c>
      <c r="M34" s="18">
        <f>SUMIFS(J34:J83,D30:D79,"notebook",C30:C79,"north")</f>
        <v>1250</v>
      </c>
    </row>
    <row r="35" spans="1:13" x14ac:dyDescent="0.3">
      <c r="A35">
        <v>1034</v>
      </c>
      <c r="B35" s="11" t="s">
        <v>81</v>
      </c>
      <c r="C35" s="11" t="s">
        <v>26</v>
      </c>
      <c r="D35" s="11" t="s">
        <v>24</v>
      </c>
      <c r="E35">
        <v>17</v>
      </c>
      <c r="F35">
        <v>50</v>
      </c>
      <c r="G35" s="13" t="s">
        <v>82</v>
      </c>
      <c r="J35" s="18">
        <f>F31*E31</f>
        <v>320</v>
      </c>
      <c r="M35" s="18">
        <f>SUMIFS(J35:J84,D31:D80,"notebook",C31:C80,"north")</f>
        <v>600</v>
      </c>
    </row>
    <row r="36" spans="1:13" x14ac:dyDescent="0.3">
      <c r="A36">
        <v>1035</v>
      </c>
      <c r="B36" s="11" t="s">
        <v>83</v>
      </c>
      <c r="C36" s="11" t="s">
        <v>29</v>
      </c>
      <c r="D36" s="11" t="s">
        <v>27</v>
      </c>
      <c r="E36">
        <v>19</v>
      </c>
      <c r="F36">
        <v>10</v>
      </c>
      <c r="G36" s="13" t="s">
        <v>84</v>
      </c>
      <c r="J36" s="18">
        <f>F32*E32</f>
        <v>250</v>
      </c>
      <c r="M36" s="18">
        <f>SUMIFS(J36:J85,D32:D81,"notebook",C32:C81,"north")</f>
        <v>600</v>
      </c>
    </row>
    <row r="37" spans="1:13" x14ac:dyDescent="0.3">
      <c r="A37">
        <v>1036</v>
      </c>
      <c r="B37" s="11" t="s">
        <v>85</v>
      </c>
      <c r="C37" s="11" t="s">
        <v>32</v>
      </c>
      <c r="D37" s="11" t="s">
        <v>30</v>
      </c>
      <c r="E37">
        <v>15</v>
      </c>
      <c r="F37">
        <v>25</v>
      </c>
      <c r="G37" s="13" t="s">
        <v>86</v>
      </c>
      <c r="J37" s="18">
        <f>F33*E33</f>
        <v>90</v>
      </c>
      <c r="M37" s="18">
        <f>SUMIFS(J37:J86,D33:D82,"notebook",C33:C82,"north")</f>
        <v>600</v>
      </c>
    </row>
    <row r="38" spans="1:13" x14ac:dyDescent="0.3">
      <c r="A38">
        <v>1037</v>
      </c>
      <c r="B38" s="11" t="s">
        <v>87</v>
      </c>
      <c r="C38" s="11" t="s">
        <v>23</v>
      </c>
      <c r="D38" s="11" t="s">
        <v>34</v>
      </c>
      <c r="E38">
        <v>28</v>
      </c>
      <c r="F38">
        <v>5</v>
      </c>
      <c r="G38" s="13" t="s">
        <v>88</v>
      </c>
      <c r="J38" s="18">
        <f>F34*E34</f>
        <v>176</v>
      </c>
      <c r="M38" s="18">
        <f>SUMIFS(J38:J87,D34:D83,"notebook",C34:C83,"north")</f>
        <v>600</v>
      </c>
    </row>
    <row r="39" spans="1:13" x14ac:dyDescent="0.3">
      <c r="A39">
        <v>1038</v>
      </c>
      <c r="B39" s="11" t="s">
        <v>89</v>
      </c>
      <c r="C39" s="11" t="s">
        <v>26</v>
      </c>
      <c r="D39" s="11" t="s">
        <v>37</v>
      </c>
      <c r="E39">
        <v>24</v>
      </c>
      <c r="F39">
        <v>8</v>
      </c>
      <c r="G39" s="13" t="s">
        <v>90</v>
      </c>
      <c r="J39" s="18">
        <f>F35*E35</f>
        <v>850</v>
      </c>
      <c r="M39" s="18">
        <f>SUMIFS(J39:J88,D35:D84,"notebook",C35:C84,"north")</f>
        <v>600</v>
      </c>
    </row>
    <row r="40" spans="1:13" x14ac:dyDescent="0.3">
      <c r="A40">
        <v>1039</v>
      </c>
      <c r="B40" s="11" t="s">
        <v>91</v>
      </c>
      <c r="C40" s="11" t="s">
        <v>29</v>
      </c>
      <c r="D40" s="11" t="s">
        <v>24</v>
      </c>
      <c r="E40">
        <v>16</v>
      </c>
      <c r="F40">
        <v>50</v>
      </c>
      <c r="G40" s="13" t="s">
        <v>92</v>
      </c>
      <c r="J40" s="18">
        <f>F36*E36</f>
        <v>190</v>
      </c>
      <c r="M40" s="18">
        <f>SUMIFS(J40:J89,D36:D85,"notebook",C36:C85,"north")</f>
        <v>600</v>
      </c>
    </row>
    <row r="41" spans="1:13" x14ac:dyDescent="0.3">
      <c r="A41">
        <v>1040</v>
      </c>
      <c r="B41" s="11" t="s">
        <v>93</v>
      </c>
      <c r="C41" s="11" t="s">
        <v>32</v>
      </c>
      <c r="D41" s="11" t="s">
        <v>27</v>
      </c>
      <c r="E41">
        <v>27</v>
      </c>
      <c r="F41">
        <v>10</v>
      </c>
      <c r="G41" s="13" t="s">
        <v>94</v>
      </c>
      <c r="J41" s="18">
        <f>F37*E37</f>
        <v>375</v>
      </c>
      <c r="M41" s="18">
        <f>SUMIFS(J41:J90,D37:D86,"notebook",C37:C86,"north")</f>
        <v>600</v>
      </c>
    </row>
    <row r="42" spans="1:13" x14ac:dyDescent="0.3">
      <c r="A42">
        <v>1041</v>
      </c>
      <c r="B42" s="11" t="s">
        <v>95</v>
      </c>
      <c r="C42" s="11" t="s">
        <v>23</v>
      </c>
      <c r="D42" s="11" t="s">
        <v>30</v>
      </c>
      <c r="E42">
        <v>21</v>
      </c>
      <c r="F42">
        <v>25</v>
      </c>
      <c r="G42" s="13" t="s">
        <v>96</v>
      </c>
      <c r="J42" s="18">
        <f>F38*E38</f>
        <v>140</v>
      </c>
      <c r="M42" s="18">
        <f>SUMIFS(J42:J91,D38:D87,"notebook",C38:C87,"north")</f>
        <v>600</v>
      </c>
    </row>
    <row r="43" spans="1:13" x14ac:dyDescent="0.3">
      <c r="A43">
        <v>1042</v>
      </c>
      <c r="B43" s="11" t="s">
        <v>97</v>
      </c>
      <c r="C43" s="11" t="s">
        <v>26</v>
      </c>
      <c r="D43" s="11" t="s">
        <v>34</v>
      </c>
      <c r="E43">
        <v>30</v>
      </c>
      <c r="F43">
        <v>5</v>
      </c>
      <c r="G43" s="13" t="s">
        <v>98</v>
      </c>
      <c r="J43" s="18">
        <f>F39*E39</f>
        <v>192</v>
      </c>
      <c r="M43" s="18">
        <f>SUMIFS(J43:J92,D39:D88,"notebook",C39:C88,"north")</f>
        <v>600</v>
      </c>
    </row>
    <row r="44" spans="1:13" x14ac:dyDescent="0.3">
      <c r="A44">
        <v>1043</v>
      </c>
      <c r="B44" s="11" t="s">
        <v>99</v>
      </c>
      <c r="C44" s="11" t="s">
        <v>29</v>
      </c>
      <c r="D44" s="11" t="s">
        <v>37</v>
      </c>
      <c r="E44">
        <v>26</v>
      </c>
      <c r="F44">
        <v>8</v>
      </c>
      <c r="G44" s="13">
        <v>45294</v>
      </c>
      <c r="J44" s="18">
        <f>F40*E40</f>
        <v>800</v>
      </c>
      <c r="M44" s="18">
        <f>SUMIFS(J44:J93,D40:D89,"notebook",C40:C89,"north")</f>
        <v>600</v>
      </c>
    </row>
    <row r="45" spans="1:13" x14ac:dyDescent="0.3">
      <c r="A45">
        <v>1044</v>
      </c>
      <c r="B45" s="11" t="s">
        <v>100</v>
      </c>
      <c r="C45" s="11" t="s">
        <v>32</v>
      </c>
      <c r="D45" s="11" t="s">
        <v>24</v>
      </c>
      <c r="E45">
        <v>14</v>
      </c>
      <c r="F45">
        <v>50</v>
      </c>
      <c r="G45" s="13">
        <v>45325</v>
      </c>
      <c r="J45" s="18">
        <f>F41*E41</f>
        <v>270</v>
      </c>
      <c r="M45" s="18">
        <f>SUMIFS(J45:J94,D41:D90,"notebook",C41:C90,"north")</f>
        <v>600</v>
      </c>
    </row>
    <row r="46" spans="1:13" x14ac:dyDescent="0.3">
      <c r="A46">
        <v>1045</v>
      </c>
      <c r="B46" s="11" t="s">
        <v>101</v>
      </c>
      <c r="C46" s="11" t="s">
        <v>23</v>
      </c>
      <c r="D46" s="11" t="s">
        <v>27</v>
      </c>
      <c r="E46">
        <v>20</v>
      </c>
      <c r="F46">
        <v>10</v>
      </c>
      <c r="G46" s="13">
        <v>45354</v>
      </c>
      <c r="J46" s="18">
        <f>F42*E42</f>
        <v>525</v>
      </c>
      <c r="M46" s="18">
        <f>SUMIFS(J46:J95,D42:D91,"notebook",C42:C91,"north")</f>
        <v>600</v>
      </c>
    </row>
    <row r="47" spans="1:13" x14ac:dyDescent="0.3">
      <c r="A47">
        <v>1046</v>
      </c>
      <c r="B47" s="11" t="s">
        <v>102</v>
      </c>
      <c r="C47" s="11" t="s">
        <v>26</v>
      </c>
      <c r="D47" s="11" t="s">
        <v>30</v>
      </c>
      <c r="E47">
        <v>17</v>
      </c>
      <c r="F47">
        <v>25</v>
      </c>
      <c r="G47" s="13">
        <v>45385</v>
      </c>
      <c r="J47" s="18">
        <f>F43*E43</f>
        <v>150</v>
      </c>
      <c r="M47" s="18">
        <f>SUMIFS(J47:J96,D43:D92,"notebook",C43:C92,"north")</f>
        <v>600</v>
      </c>
    </row>
    <row r="48" spans="1:13" x14ac:dyDescent="0.3">
      <c r="A48">
        <v>1047</v>
      </c>
      <c r="B48" s="11" t="s">
        <v>103</v>
      </c>
      <c r="C48" s="11" t="s">
        <v>29</v>
      </c>
      <c r="D48" s="11" t="s">
        <v>34</v>
      </c>
      <c r="E48">
        <v>19</v>
      </c>
      <c r="F48">
        <v>5</v>
      </c>
      <c r="G48" s="13">
        <v>45415</v>
      </c>
      <c r="J48" s="18">
        <f>F44*E44</f>
        <v>208</v>
      </c>
      <c r="M48" s="18">
        <f>SUMIFS(J48:J97,D44:D93,"notebook",C44:C93,"north")</f>
        <v>600</v>
      </c>
    </row>
    <row r="49" spans="1:13" x14ac:dyDescent="0.3">
      <c r="A49">
        <v>1048</v>
      </c>
      <c r="B49" s="11" t="s">
        <v>104</v>
      </c>
      <c r="C49" s="11" t="s">
        <v>32</v>
      </c>
      <c r="D49" s="11" t="s">
        <v>37</v>
      </c>
      <c r="E49">
        <v>32</v>
      </c>
      <c r="F49">
        <v>8</v>
      </c>
      <c r="G49" s="13">
        <v>45446</v>
      </c>
      <c r="J49" s="18">
        <f>F45*E45</f>
        <v>700</v>
      </c>
      <c r="M49" s="18">
        <f>SUMIFS(J49:J98,D45:D94,"notebook",C45:C94,"north")</f>
        <v>600</v>
      </c>
    </row>
    <row r="50" spans="1:13" x14ac:dyDescent="0.3">
      <c r="A50">
        <v>1049</v>
      </c>
      <c r="B50" s="11" t="s">
        <v>105</v>
      </c>
      <c r="C50" s="11" t="s">
        <v>23</v>
      </c>
      <c r="D50" s="11" t="s">
        <v>24</v>
      </c>
      <c r="E50">
        <v>12</v>
      </c>
      <c r="F50">
        <v>50</v>
      </c>
      <c r="G50" s="13">
        <v>45476</v>
      </c>
      <c r="J50" s="18">
        <f>F46*E46</f>
        <v>200</v>
      </c>
      <c r="M50" s="18">
        <f>SUMIFS(J50:J99,D46:D95,"notebook",C46:C95,"north")</f>
        <v>600</v>
      </c>
    </row>
    <row r="51" spans="1:13" x14ac:dyDescent="0.3">
      <c r="A51">
        <v>1050</v>
      </c>
      <c r="B51" s="11" t="s">
        <v>106</v>
      </c>
      <c r="C51" s="11" t="s">
        <v>26</v>
      </c>
      <c r="D51" s="11" t="s">
        <v>27</v>
      </c>
      <c r="E51">
        <v>25</v>
      </c>
      <c r="F51">
        <v>10</v>
      </c>
      <c r="G51" s="13">
        <v>45507</v>
      </c>
      <c r="J51" s="18">
        <f>F47*E47</f>
        <v>425</v>
      </c>
      <c r="M51" s="18">
        <f>SUMIFS(J51:J100,D47:D96,"notebook",C47:C96,"north")</f>
        <v>600</v>
      </c>
    </row>
    <row r="52" spans="1:13" x14ac:dyDescent="0.3">
      <c r="B52" s="11"/>
      <c r="C52" s="11"/>
      <c r="D52" s="11"/>
      <c r="J52" s="18">
        <f>F48*E48</f>
        <v>95</v>
      </c>
      <c r="M52" s="18">
        <f>SUMIFS(J52:J101,D48:D97,"notebook",C48:C97,"north")</f>
        <v>600</v>
      </c>
    </row>
    <row r="53" spans="1:13" x14ac:dyDescent="0.3">
      <c r="B53" s="11"/>
      <c r="C53" s="11"/>
      <c r="D53" s="11"/>
      <c r="J53" s="18">
        <f>F49*E49</f>
        <v>256</v>
      </c>
      <c r="M53" s="18">
        <f>SUMIFS(J53:J102,D49:D98,"notebook",C49:C98,"north")</f>
        <v>600</v>
      </c>
    </row>
    <row r="54" spans="1:13" ht="15" thickBot="1" x14ac:dyDescent="0.35">
      <c r="J54" s="18">
        <f>F50*E50</f>
        <v>600</v>
      </c>
      <c r="M54" s="10">
        <f>SUMIFS(J54:J103,D50:D99,"notebook",C50:C99,"north")</f>
        <v>600</v>
      </c>
    </row>
    <row r="55" spans="1:13" ht="15" thickBot="1" x14ac:dyDescent="0.35">
      <c r="J55" s="10">
        <f>F51*E51</f>
        <v>250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7382-5A39-4955-A702-5C8912347C35}">
  <dimension ref="A3:G53"/>
  <sheetViews>
    <sheetView zoomScale="79" zoomScaleNormal="79" workbookViewId="0">
      <selection activeCell="H24" sqref="H24"/>
    </sheetView>
  </sheetViews>
  <sheetFormatPr defaultRowHeight="14.4" x14ac:dyDescent="0.3"/>
  <cols>
    <col min="1" max="1" width="16.109375" customWidth="1"/>
    <col min="2" max="2" width="12.21875" bestFit="1" customWidth="1"/>
    <col min="7" max="7" width="17.88671875" bestFit="1" customWidth="1"/>
  </cols>
  <sheetData>
    <row r="3" spans="1:7" x14ac:dyDescent="0.3">
      <c r="A3" t="s">
        <v>117</v>
      </c>
      <c r="B3" t="s">
        <v>113</v>
      </c>
    </row>
    <row r="4" spans="1:7" x14ac:dyDescent="0.3">
      <c r="A4" s="28" t="s">
        <v>24</v>
      </c>
      <c r="B4" s="21">
        <f>'ANS 4,5,6'!E2*'ANS 4,5,6'!F2</f>
        <v>500</v>
      </c>
    </row>
    <row r="5" spans="1:7" x14ac:dyDescent="0.3">
      <c r="A5" s="29" t="s">
        <v>27</v>
      </c>
      <c r="B5" s="22">
        <f>'ANS 4,5,6'!E3*'ANS 4,5,6'!F3</f>
        <v>200</v>
      </c>
    </row>
    <row r="6" spans="1:7" x14ac:dyDescent="0.3">
      <c r="A6" s="28" t="s">
        <v>30</v>
      </c>
      <c r="B6" s="21">
        <f>'ANS 4,5,6'!E4*'ANS 4,5,6'!F4</f>
        <v>375</v>
      </c>
    </row>
    <row r="7" spans="1:7" x14ac:dyDescent="0.3">
      <c r="A7" s="29" t="s">
        <v>24</v>
      </c>
      <c r="B7" s="22">
        <f>'ANS 4,5,6'!E5*'ANS 4,5,6'!F5</f>
        <v>250</v>
      </c>
      <c r="F7" s="26" t="s">
        <v>114</v>
      </c>
      <c r="G7" t="s">
        <v>116</v>
      </c>
    </row>
    <row r="8" spans="1:7" x14ac:dyDescent="0.3">
      <c r="A8" s="28" t="s">
        <v>34</v>
      </c>
      <c r="B8" s="21">
        <f>'ANS 4,5,6'!E6*'ANS 4,5,6'!F6</f>
        <v>150</v>
      </c>
      <c r="F8" s="27" t="s">
        <v>37</v>
      </c>
      <c r="G8" s="11">
        <v>1928</v>
      </c>
    </row>
    <row r="9" spans="1:7" x14ac:dyDescent="0.3">
      <c r="A9" s="29" t="s">
        <v>24</v>
      </c>
      <c r="B9" s="22">
        <f>'ANS 4,5,6'!E7*'ANS 4,5,6'!F7</f>
        <v>600</v>
      </c>
      <c r="F9" s="27" t="s">
        <v>30</v>
      </c>
      <c r="G9" s="11">
        <v>3650</v>
      </c>
    </row>
    <row r="10" spans="1:7" x14ac:dyDescent="0.3">
      <c r="A10" s="28" t="s">
        <v>37</v>
      </c>
      <c r="B10" s="21">
        <f>'ANS 4,5,6'!E8*'ANS 4,5,6'!F8</f>
        <v>200</v>
      </c>
      <c r="F10" s="27" t="s">
        <v>24</v>
      </c>
      <c r="G10" s="11">
        <v>7550</v>
      </c>
    </row>
    <row r="11" spans="1:7" x14ac:dyDescent="0.3">
      <c r="A11" s="29" t="s">
        <v>27</v>
      </c>
      <c r="B11" s="22">
        <f>'ANS 4,5,6'!E9*'ANS 4,5,6'!F9</f>
        <v>180</v>
      </c>
      <c r="F11" s="27" t="s">
        <v>27</v>
      </c>
      <c r="G11" s="11">
        <v>2180</v>
      </c>
    </row>
    <row r="12" spans="1:7" x14ac:dyDescent="0.3">
      <c r="A12" s="28" t="s">
        <v>30</v>
      </c>
      <c r="B12" s="21">
        <f>'ANS 4,5,6'!E10*'ANS 4,5,6'!F10</f>
        <v>550</v>
      </c>
      <c r="F12" s="27" t="s">
        <v>34</v>
      </c>
      <c r="G12" s="11">
        <v>1235</v>
      </c>
    </row>
    <row r="13" spans="1:7" x14ac:dyDescent="0.3">
      <c r="A13" s="29" t="s">
        <v>24</v>
      </c>
      <c r="B13" s="22">
        <f>'ANS 4,5,6'!E11*'ANS 4,5,6'!F11</f>
        <v>400</v>
      </c>
      <c r="F13" s="27" t="s">
        <v>115</v>
      </c>
      <c r="G13" s="11">
        <v>16543</v>
      </c>
    </row>
    <row r="14" spans="1:7" x14ac:dyDescent="0.3">
      <c r="A14" s="28" t="s">
        <v>34</v>
      </c>
      <c r="B14" s="21">
        <f>'ANS 4,5,6'!E12*'ANS 4,5,6'!F12</f>
        <v>200</v>
      </c>
    </row>
    <row r="15" spans="1:7" x14ac:dyDescent="0.3">
      <c r="A15" s="29" t="s">
        <v>37</v>
      </c>
      <c r="B15" s="22">
        <f>'ANS 4,5,6'!E13*'ANS 4,5,6'!F13</f>
        <v>280</v>
      </c>
    </row>
    <row r="16" spans="1:7" x14ac:dyDescent="0.3">
      <c r="A16" s="28" t="s">
        <v>24</v>
      </c>
      <c r="B16" s="21">
        <f>'ANS 4,5,6'!E14*'ANS 4,5,6'!F14</f>
        <v>700</v>
      </c>
    </row>
    <row r="17" spans="1:2" x14ac:dyDescent="0.3">
      <c r="A17" s="29" t="s">
        <v>27</v>
      </c>
      <c r="B17" s="22">
        <f>'ANS 4,5,6'!E15*'ANS 4,5,6'!F15</f>
        <v>280</v>
      </c>
    </row>
    <row r="18" spans="1:2" x14ac:dyDescent="0.3">
      <c r="A18" s="28" t="s">
        <v>30</v>
      </c>
      <c r="B18" s="21">
        <f>'ANS 4,5,6'!E16*'ANS 4,5,6'!F16</f>
        <v>300</v>
      </c>
    </row>
    <row r="19" spans="1:2" x14ac:dyDescent="0.3">
      <c r="A19" s="29" t="s">
        <v>34</v>
      </c>
      <c r="B19" s="22">
        <f>'ANS 4,5,6'!E17*'ANS 4,5,6'!F17</f>
        <v>125</v>
      </c>
    </row>
    <row r="20" spans="1:2" x14ac:dyDescent="0.3">
      <c r="A20" s="28" t="s">
        <v>37</v>
      </c>
      <c r="B20" s="21">
        <f>'ANS 4,5,6'!E18*'ANS 4,5,6'!F18</f>
        <v>160</v>
      </c>
    </row>
    <row r="21" spans="1:2" x14ac:dyDescent="0.3">
      <c r="A21" s="29" t="s">
        <v>24</v>
      </c>
      <c r="B21" s="22">
        <f>'ANS 4,5,6'!E19*'ANS 4,5,6'!F19</f>
        <v>500</v>
      </c>
    </row>
    <row r="22" spans="1:2" x14ac:dyDescent="0.3">
      <c r="A22" s="28" t="s">
        <v>27</v>
      </c>
      <c r="B22" s="21">
        <f>'ANS 4,5,6'!E20*'ANS 4,5,6'!F20</f>
        <v>150</v>
      </c>
    </row>
    <row r="23" spans="1:2" x14ac:dyDescent="0.3">
      <c r="A23" s="29" t="s">
        <v>30</v>
      </c>
      <c r="B23" s="22">
        <f>'ANS 4,5,6'!E21*'ANS 4,5,6'!F21</f>
        <v>450</v>
      </c>
    </row>
    <row r="24" spans="1:2" x14ac:dyDescent="0.3">
      <c r="A24" s="28" t="s">
        <v>24</v>
      </c>
      <c r="B24" s="21">
        <f>'ANS 4,5,6'!E22*'ANS 4,5,6'!F22</f>
        <v>450</v>
      </c>
    </row>
    <row r="25" spans="1:2" x14ac:dyDescent="0.3">
      <c r="A25" s="29" t="s">
        <v>34</v>
      </c>
      <c r="B25" s="22">
        <f>'ANS 4,5,6'!E23*'ANS 4,5,6'!F23</f>
        <v>175</v>
      </c>
    </row>
    <row r="26" spans="1:2" x14ac:dyDescent="0.3">
      <c r="A26" s="28" t="s">
        <v>37</v>
      </c>
      <c r="B26" s="21">
        <f>'ANS 4,5,6'!E24*'ANS 4,5,6'!F24</f>
        <v>240</v>
      </c>
    </row>
    <row r="27" spans="1:2" x14ac:dyDescent="0.3">
      <c r="A27" s="29" t="s">
        <v>24</v>
      </c>
      <c r="B27" s="22">
        <f>'ANS 4,5,6'!E25*'ANS 4,5,6'!F25</f>
        <v>550</v>
      </c>
    </row>
    <row r="28" spans="1:2" x14ac:dyDescent="0.3">
      <c r="A28" s="28" t="s">
        <v>27</v>
      </c>
      <c r="B28" s="21">
        <f>'ANS 4,5,6'!E26*'ANS 4,5,6'!F26</f>
        <v>140</v>
      </c>
    </row>
    <row r="29" spans="1:2" x14ac:dyDescent="0.3">
      <c r="A29" s="29" t="s">
        <v>30</v>
      </c>
      <c r="B29" s="22">
        <f>'ANS 4,5,6'!E27*'ANS 4,5,6'!F27</f>
        <v>400</v>
      </c>
    </row>
    <row r="30" spans="1:2" x14ac:dyDescent="0.3">
      <c r="A30" s="28" t="s">
        <v>34</v>
      </c>
      <c r="B30" s="21">
        <f>'ANS 4,5,6'!E28*'ANS 4,5,6'!F28</f>
        <v>110</v>
      </c>
    </row>
    <row r="31" spans="1:2" x14ac:dyDescent="0.3">
      <c r="A31" s="29" t="s">
        <v>37</v>
      </c>
      <c r="B31" s="22">
        <f>'ANS 4,5,6'!E29*'ANS 4,5,6'!F29</f>
        <v>216</v>
      </c>
    </row>
    <row r="32" spans="1:2" x14ac:dyDescent="0.3">
      <c r="A32" s="28" t="s">
        <v>24</v>
      </c>
      <c r="B32" s="21">
        <f>'ANS 4,5,6'!E30*'ANS 4,5,6'!F30</f>
        <v>650</v>
      </c>
    </row>
    <row r="33" spans="1:2" x14ac:dyDescent="0.3">
      <c r="A33" s="29" t="s">
        <v>27</v>
      </c>
      <c r="B33" s="22">
        <f>'ANS 4,5,6'!E31*'ANS 4,5,6'!F31</f>
        <v>320</v>
      </c>
    </row>
    <row r="34" spans="1:2" x14ac:dyDescent="0.3">
      <c r="A34" s="28" t="s">
        <v>30</v>
      </c>
      <c r="B34" s="21">
        <f>'ANS 4,5,6'!E32*'ANS 4,5,6'!F32</f>
        <v>250</v>
      </c>
    </row>
    <row r="35" spans="1:2" x14ac:dyDescent="0.3">
      <c r="A35" s="29" t="s">
        <v>34</v>
      </c>
      <c r="B35" s="22">
        <f>'ANS 4,5,6'!E33*'ANS 4,5,6'!F33</f>
        <v>90</v>
      </c>
    </row>
    <row r="36" spans="1:2" x14ac:dyDescent="0.3">
      <c r="A36" s="28" t="s">
        <v>37</v>
      </c>
      <c r="B36" s="21">
        <f>'ANS 4,5,6'!E34*'ANS 4,5,6'!F34</f>
        <v>176</v>
      </c>
    </row>
    <row r="37" spans="1:2" x14ac:dyDescent="0.3">
      <c r="A37" s="29" t="s">
        <v>24</v>
      </c>
      <c r="B37" s="22">
        <f>'ANS 4,5,6'!E35*'ANS 4,5,6'!F35</f>
        <v>850</v>
      </c>
    </row>
    <row r="38" spans="1:2" x14ac:dyDescent="0.3">
      <c r="A38" s="28" t="s">
        <v>27</v>
      </c>
      <c r="B38" s="21">
        <f>'ANS 4,5,6'!E36*'ANS 4,5,6'!F36</f>
        <v>190</v>
      </c>
    </row>
    <row r="39" spans="1:2" x14ac:dyDescent="0.3">
      <c r="A39" s="29" t="s">
        <v>30</v>
      </c>
      <c r="B39" s="22">
        <f>'ANS 4,5,6'!E37*'ANS 4,5,6'!F37</f>
        <v>375</v>
      </c>
    </row>
    <row r="40" spans="1:2" x14ac:dyDescent="0.3">
      <c r="A40" s="28" t="s">
        <v>34</v>
      </c>
      <c r="B40" s="21">
        <f>'ANS 4,5,6'!E38*'ANS 4,5,6'!F38</f>
        <v>140</v>
      </c>
    </row>
    <row r="41" spans="1:2" x14ac:dyDescent="0.3">
      <c r="A41" s="29" t="s">
        <v>37</v>
      </c>
      <c r="B41" s="22">
        <f>'ANS 4,5,6'!E39*'ANS 4,5,6'!F39</f>
        <v>192</v>
      </c>
    </row>
    <row r="42" spans="1:2" x14ac:dyDescent="0.3">
      <c r="A42" s="28" t="s">
        <v>24</v>
      </c>
      <c r="B42" s="21">
        <f>'ANS 4,5,6'!E40*'ANS 4,5,6'!F40</f>
        <v>800</v>
      </c>
    </row>
    <row r="43" spans="1:2" x14ac:dyDescent="0.3">
      <c r="A43" s="29" t="s">
        <v>27</v>
      </c>
      <c r="B43" s="22">
        <f>'ANS 4,5,6'!E41*'ANS 4,5,6'!F41</f>
        <v>270</v>
      </c>
    </row>
    <row r="44" spans="1:2" x14ac:dyDescent="0.3">
      <c r="A44" s="28" t="s">
        <v>30</v>
      </c>
      <c r="B44" s="21">
        <f>'ANS 4,5,6'!E42*'ANS 4,5,6'!F42</f>
        <v>525</v>
      </c>
    </row>
    <row r="45" spans="1:2" x14ac:dyDescent="0.3">
      <c r="A45" s="29" t="s">
        <v>34</v>
      </c>
      <c r="B45" s="22">
        <f>'ANS 4,5,6'!E43*'ANS 4,5,6'!F43</f>
        <v>150</v>
      </c>
    </row>
    <row r="46" spans="1:2" x14ac:dyDescent="0.3">
      <c r="A46" s="28" t="s">
        <v>37</v>
      </c>
      <c r="B46" s="21">
        <f>'ANS 4,5,6'!E44*'ANS 4,5,6'!F44</f>
        <v>208</v>
      </c>
    </row>
    <row r="47" spans="1:2" x14ac:dyDescent="0.3">
      <c r="A47" s="29" t="s">
        <v>24</v>
      </c>
      <c r="B47" s="22">
        <f>'ANS 4,5,6'!E45*'ANS 4,5,6'!F45</f>
        <v>700</v>
      </c>
    </row>
    <row r="48" spans="1:2" x14ac:dyDescent="0.3">
      <c r="A48" s="28" t="s">
        <v>27</v>
      </c>
      <c r="B48" s="21">
        <f>'ANS 4,5,6'!E46*'ANS 4,5,6'!F46</f>
        <v>200</v>
      </c>
    </row>
    <row r="49" spans="1:2" x14ac:dyDescent="0.3">
      <c r="A49" s="29" t="s">
        <v>30</v>
      </c>
      <c r="B49" s="22">
        <f>'ANS 4,5,6'!E47*'ANS 4,5,6'!F47</f>
        <v>425</v>
      </c>
    </row>
    <row r="50" spans="1:2" x14ac:dyDescent="0.3">
      <c r="A50" s="28" t="s">
        <v>34</v>
      </c>
      <c r="B50" s="21">
        <f>'ANS 4,5,6'!E48*'ANS 4,5,6'!F48</f>
        <v>95</v>
      </c>
    </row>
    <row r="51" spans="1:2" x14ac:dyDescent="0.3">
      <c r="A51" s="29" t="s">
        <v>37</v>
      </c>
      <c r="B51" s="22">
        <f>'ANS 4,5,6'!E49*'ANS 4,5,6'!F49</f>
        <v>256</v>
      </c>
    </row>
    <row r="52" spans="1:2" x14ac:dyDescent="0.3">
      <c r="A52" s="28" t="s">
        <v>24</v>
      </c>
      <c r="B52" s="21">
        <f>'ANS 4,5,6'!E50*'ANS 4,5,6'!F50</f>
        <v>600</v>
      </c>
    </row>
    <row r="53" spans="1:2" x14ac:dyDescent="0.3">
      <c r="A53" s="29" t="s">
        <v>27</v>
      </c>
      <c r="B53" s="22">
        <f>'ANS 4,5,6'!E51*'ANS 4,5,6'!F51</f>
        <v>250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2E19-6631-4F43-BC11-EB37023ACDBC}">
  <dimension ref="B1:I53"/>
  <sheetViews>
    <sheetView tabSelected="1" workbookViewId="0">
      <selection activeCell="A4" sqref="A4"/>
    </sheetView>
  </sheetViews>
  <sheetFormatPr defaultRowHeight="14.4" x14ac:dyDescent="0.3"/>
  <cols>
    <col min="2" max="2" width="10.33203125" bestFit="1" customWidth="1"/>
    <col min="3" max="3" width="10.88671875" customWidth="1"/>
    <col min="5" max="5" width="11" customWidth="1"/>
    <col min="8" max="8" width="12.44140625" bestFit="1" customWidth="1"/>
    <col min="9" max="9" width="12.21875" bestFit="1" customWidth="1"/>
  </cols>
  <sheetData>
    <row r="1" spans="2:9" x14ac:dyDescent="0.3">
      <c r="B1" s="25" t="s">
        <v>118</v>
      </c>
      <c r="C1" s="25" t="s">
        <v>119</v>
      </c>
      <c r="D1" s="25" t="s">
        <v>120</v>
      </c>
      <c r="E1" s="25" t="s">
        <v>121</v>
      </c>
      <c r="F1" s="25" t="s">
        <v>113</v>
      </c>
    </row>
    <row r="2" spans="2:9" x14ac:dyDescent="0.3">
      <c r="B2" s="30">
        <v>45413</v>
      </c>
      <c r="C2" s="31">
        <v>10</v>
      </c>
      <c r="D2" s="31">
        <v>50</v>
      </c>
      <c r="E2" s="30">
        <v>45413</v>
      </c>
      <c r="F2">
        <f>Table6[[#This Row],[QTY]]*Table6[[#This Row],[PRICE]]</f>
        <v>500</v>
      </c>
      <c r="H2" s="33" t="s">
        <v>118</v>
      </c>
      <c r="I2" s="34" t="s">
        <v>116</v>
      </c>
    </row>
    <row r="3" spans="2:9" x14ac:dyDescent="0.3">
      <c r="B3" s="30">
        <v>45444</v>
      </c>
      <c r="C3" s="31">
        <v>20</v>
      </c>
      <c r="D3" s="31">
        <v>10</v>
      </c>
      <c r="E3" s="30">
        <v>45444</v>
      </c>
      <c r="F3">
        <f>Table6[[#This Row],[QTY]]*Table6[[#This Row],[PRICE]]</f>
        <v>200</v>
      </c>
      <c r="H3" s="35" t="s">
        <v>38</v>
      </c>
      <c r="I3" s="36">
        <v>200</v>
      </c>
    </row>
    <row r="4" spans="2:9" x14ac:dyDescent="0.3">
      <c r="B4" s="30">
        <v>45474</v>
      </c>
      <c r="C4" s="31">
        <v>15</v>
      </c>
      <c r="D4" s="31">
        <v>25</v>
      </c>
      <c r="E4" s="30">
        <v>45474</v>
      </c>
      <c r="F4">
        <f>Table6[[#This Row],[QTY]]*Table6[[#This Row],[PRICE]]</f>
        <v>375</v>
      </c>
      <c r="H4" s="35" t="s">
        <v>74</v>
      </c>
      <c r="I4" s="36">
        <v>320</v>
      </c>
    </row>
    <row r="5" spans="2:9" x14ac:dyDescent="0.3">
      <c r="B5" s="30">
        <v>45505</v>
      </c>
      <c r="C5" s="31">
        <v>5</v>
      </c>
      <c r="D5" s="31">
        <v>50</v>
      </c>
      <c r="E5" s="30">
        <v>45505</v>
      </c>
      <c r="F5">
        <f>Table6[[#This Row],[QTY]]*Table6[[#This Row],[PRICE]]</f>
        <v>250</v>
      </c>
      <c r="H5" s="35" t="s">
        <v>76</v>
      </c>
      <c r="I5" s="36">
        <v>250</v>
      </c>
    </row>
    <row r="6" spans="2:9" x14ac:dyDescent="0.3">
      <c r="B6" s="30">
        <v>45566</v>
      </c>
      <c r="C6" s="31">
        <v>30</v>
      </c>
      <c r="D6" s="31">
        <v>5</v>
      </c>
      <c r="E6" s="30">
        <v>45566</v>
      </c>
      <c r="F6">
        <f>Table6[[#This Row],[QTY]]*Table6[[#This Row],[PRICE]]</f>
        <v>150</v>
      </c>
      <c r="H6" s="35" t="s">
        <v>40</v>
      </c>
      <c r="I6" s="36">
        <v>180</v>
      </c>
    </row>
    <row r="7" spans="2:9" x14ac:dyDescent="0.3">
      <c r="B7" s="30">
        <v>45597</v>
      </c>
      <c r="C7" s="31">
        <v>12</v>
      </c>
      <c r="D7" s="31">
        <v>50</v>
      </c>
      <c r="E7" s="30">
        <v>45597</v>
      </c>
      <c r="F7">
        <f>Table6[[#This Row],[QTY]]*Table6[[#This Row],[PRICE]]</f>
        <v>600</v>
      </c>
      <c r="H7" s="35" t="s">
        <v>78</v>
      </c>
      <c r="I7" s="36">
        <v>90</v>
      </c>
    </row>
    <row r="8" spans="2:9" x14ac:dyDescent="0.3">
      <c r="B8" s="32" t="s">
        <v>38</v>
      </c>
      <c r="C8" s="31">
        <v>25</v>
      </c>
      <c r="D8" s="31">
        <v>8</v>
      </c>
      <c r="E8" s="32" t="s">
        <v>38</v>
      </c>
      <c r="F8">
        <f>Table6[[#This Row],[QTY]]*Table6[[#This Row],[PRICE]]</f>
        <v>200</v>
      </c>
      <c r="H8" s="35" t="s">
        <v>42</v>
      </c>
      <c r="I8" s="36">
        <v>550</v>
      </c>
    </row>
    <row r="9" spans="2:9" x14ac:dyDescent="0.3">
      <c r="B9" s="32" t="s">
        <v>40</v>
      </c>
      <c r="C9" s="31">
        <v>18</v>
      </c>
      <c r="D9" s="31">
        <v>10</v>
      </c>
      <c r="E9" s="32" t="s">
        <v>40</v>
      </c>
      <c r="F9">
        <f>Table6[[#This Row],[QTY]]*Table6[[#This Row],[PRICE]]</f>
        <v>180</v>
      </c>
      <c r="H9" s="35" t="s">
        <v>80</v>
      </c>
      <c r="I9" s="36">
        <v>176</v>
      </c>
    </row>
    <row r="10" spans="2:9" x14ac:dyDescent="0.3">
      <c r="B10" s="32" t="s">
        <v>42</v>
      </c>
      <c r="C10" s="31">
        <v>22</v>
      </c>
      <c r="D10" s="31">
        <v>25</v>
      </c>
      <c r="E10" s="32" t="s">
        <v>42</v>
      </c>
      <c r="F10">
        <f>Table6[[#This Row],[QTY]]*Table6[[#This Row],[PRICE]]</f>
        <v>550</v>
      </c>
      <c r="H10" s="35" t="s">
        <v>44</v>
      </c>
      <c r="I10" s="36">
        <v>400</v>
      </c>
    </row>
    <row r="11" spans="2:9" x14ac:dyDescent="0.3">
      <c r="B11" s="32" t="s">
        <v>44</v>
      </c>
      <c r="C11" s="31">
        <v>8</v>
      </c>
      <c r="D11" s="31">
        <v>50</v>
      </c>
      <c r="E11" s="32" t="s">
        <v>44</v>
      </c>
      <c r="F11">
        <f>Table6[[#This Row],[QTY]]*Table6[[#This Row],[PRICE]]</f>
        <v>400</v>
      </c>
      <c r="H11" s="35" t="s">
        <v>82</v>
      </c>
      <c r="I11" s="36">
        <v>850</v>
      </c>
    </row>
    <row r="12" spans="2:9" x14ac:dyDescent="0.3">
      <c r="B12" s="32" t="s">
        <v>46</v>
      </c>
      <c r="C12" s="31">
        <v>40</v>
      </c>
      <c r="D12" s="31">
        <v>5</v>
      </c>
      <c r="E12" s="32" t="s">
        <v>46</v>
      </c>
      <c r="F12">
        <f>Table6[[#This Row],[QTY]]*Table6[[#This Row],[PRICE]]</f>
        <v>200</v>
      </c>
      <c r="H12" s="35" t="s">
        <v>46</v>
      </c>
      <c r="I12" s="36">
        <v>200</v>
      </c>
    </row>
    <row r="13" spans="2:9" x14ac:dyDescent="0.3">
      <c r="B13" s="32" t="s">
        <v>48</v>
      </c>
      <c r="C13" s="31">
        <v>35</v>
      </c>
      <c r="D13" s="31">
        <v>8</v>
      </c>
      <c r="E13" s="32" t="s">
        <v>48</v>
      </c>
      <c r="F13">
        <f>Table6[[#This Row],[QTY]]*Table6[[#This Row],[PRICE]]</f>
        <v>280</v>
      </c>
      <c r="H13" s="35" t="s">
        <v>84</v>
      </c>
      <c r="I13" s="36">
        <v>190</v>
      </c>
    </row>
    <row r="14" spans="2:9" x14ac:dyDescent="0.3">
      <c r="B14" s="32" t="s">
        <v>50</v>
      </c>
      <c r="C14" s="31">
        <v>14</v>
      </c>
      <c r="D14" s="31">
        <v>50</v>
      </c>
      <c r="E14" s="32" t="s">
        <v>50</v>
      </c>
      <c r="F14">
        <f>Table6[[#This Row],[QTY]]*Table6[[#This Row],[PRICE]]</f>
        <v>700</v>
      </c>
      <c r="H14" s="35" t="s">
        <v>48</v>
      </c>
      <c r="I14" s="36">
        <v>280</v>
      </c>
    </row>
    <row r="15" spans="2:9" x14ac:dyDescent="0.3">
      <c r="B15" s="32" t="s">
        <v>52</v>
      </c>
      <c r="C15" s="31">
        <v>28</v>
      </c>
      <c r="D15" s="31">
        <v>10</v>
      </c>
      <c r="E15" s="32" t="s">
        <v>52</v>
      </c>
      <c r="F15">
        <f>Table6[[#This Row],[QTY]]*Table6[[#This Row],[PRICE]]</f>
        <v>280</v>
      </c>
      <c r="H15" s="35" t="s">
        <v>86</v>
      </c>
      <c r="I15" s="36">
        <v>375</v>
      </c>
    </row>
    <row r="16" spans="2:9" x14ac:dyDescent="0.3">
      <c r="B16" s="32" t="s">
        <v>54</v>
      </c>
      <c r="C16" s="31">
        <v>12</v>
      </c>
      <c r="D16" s="31">
        <v>25</v>
      </c>
      <c r="E16" s="32" t="s">
        <v>54</v>
      </c>
      <c r="F16">
        <f>Table6[[#This Row],[QTY]]*Table6[[#This Row],[PRICE]]</f>
        <v>300</v>
      </c>
      <c r="H16" s="35" t="s">
        <v>50</v>
      </c>
      <c r="I16" s="36">
        <v>700</v>
      </c>
    </row>
    <row r="17" spans="2:9" x14ac:dyDescent="0.3">
      <c r="B17" s="32" t="s">
        <v>56</v>
      </c>
      <c r="C17" s="31">
        <v>25</v>
      </c>
      <c r="D17" s="31">
        <v>5</v>
      </c>
      <c r="E17" s="32" t="s">
        <v>56</v>
      </c>
      <c r="F17">
        <f>Table6[[#This Row],[QTY]]*Table6[[#This Row],[PRICE]]</f>
        <v>125</v>
      </c>
      <c r="H17" s="35" t="s">
        <v>88</v>
      </c>
      <c r="I17" s="36">
        <v>140</v>
      </c>
    </row>
    <row r="18" spans="2:9" x14ac:dyDescent="0.3">
      <c r="B18" s="32" t="s">
        <v>58</v>
      </c>
      <c r="C18" s="31">
        <v>20</v>
      </c>
      <c r="D18" s="31">
        <v>8</v>
      </c>
      <c r="E18" s="32" t="s">
        <v>58</v>
      </c>
      <c r="F18">
        <f>Table6[[#This Row],[QTY]]*Table6[[#This Row],[PRICE]]</f>
        <v>160</v>
      </c>
      <c r="H18" s="35" t="s">
        <v>52</v>
      </c>
      <c r="I18" s="36">
        <v>280</v>
      </c>
    </row>
    <row r="19" spans="2:9" x14ac:dyDescent="0.3">
      <c r="B19" s="32" t="s">
        <v>60</v>
      </c>
      <c r="C19" s="31">
        <v>10</v>
      </c>
      <c r="D19" s="31">
        <v>50</v>
      </c>
      <c r="E19" s="32" t="s">
        <v>60</v>
      </c>
      <c r="F19">
        <f>Table6[[#This Row],[QTY]]*Table6[[#This Row],[PRICE]]</f>
        <v>500</v>
      </c>
      <c r="H19" s="35" t="s">
        <v>90</v>
      </c>
      <c r="I19" s="36">
        <v>192</v>
      </c>
    </row>
    <row r="20" spans="2:9" x14ac:dyDescent="0.3">
      <c r="B20" s="32" t="s">
        <v>62</v>
      </c>
      <c r="C20" s="31">
        <v>15</v>
      </c>
      <c r="D20" s="31">
        <v>10</v>
      </c>
      <c r="E20" s="32" t="s">
        <v>62</v>
      </c>
      <c r="F20">
        <f>Table6[[#This Row],[QTY]]*Table6[[#This Row],[PRICE]]</f>
        <v>150</v>
      </c>
      <c r="H20" s="35" t="s">
        <v>54</v>
      </c>
      <c r="I20" s="36">
        <v>300</v>
      </c>
    </row>
    <row r="21" spans="2:9" x14ac:dyDescent="0.3">
      <c r="B21" s="30">
        <v>45293</v>
      </c>
      <c r="C21" s="31">
        <v>18</v>
      </c>
      <c r="D21" s="31">
        <v>25</v>
      </c>
      <c r="E21" s="30">
        <v>45293</v>
      </c>
      <c r="F21">
        <f>Table6[[#This Row],[QTY]]*Table6[[#This Row],[PRICE]]</f>
        <v>450</v>
      </c>
      <c r="H21" s="35" t="s">
        <v>92</v>
      </c>
      <c r="I21" s="36">
        <v>800</v>
      </c>
    </row>
    <row r="22" spans="2:9" x14ac:dyDescent="0.3">
      <c r="B22" s="30">
        <v>45324</v>
      </c>
      <c r="C22" s="31">
        <v>9</v>
      </c>
      <c r="D22" s="31">
        <v>50</v>
      </c>
      <c r="E22" s="30">
        <v>45324</v>
      </c>
      <c r="F22">
        <f>Table6[[#This Row],[QTY]]*Table6[[#This Row],[PRICE]]</f>
        <v>450</v>
      </c>
      <c r="H22" s="35" t="s">
        <v>56</v>
      </c>
      <c r="I22" s="36">
        <v>125</v>
      </c>
    </row>
    <row r="23" spans="2:9" x14ac:dyDescent="0.3">
      <c r="B23" s="30">
        <v>45353</v>
      </c>
      <c r="C23" s="31">
        <v>35</v>
      </c>
      <c r="D23" s="31">
        <v>5</v>
      </c>
      <c r="E23" s="30">
        <v>45353</v>
      </c>
      <c r="F23">
        <f>Table6[[#This Row],[QTY]]*Table6[[#This Row],[PRICE]]</f>
        <v>175</v>
      </c>
      <c r="H23" s="35" t="s">
        <v>94</v>
      </c>
      <c r="I23" s="36">
        <v>270</v>
      </c>
    </row>
    <row r="24" spans="2:9" x14ac:dyDescent="0.3">
      <c r="B24" s="30">
        <v>45384</v>
      </c>
      <c r="C24" s="31">
        <v>30</v>
      </c>
      <c r="D24" s="31">
        <v>8</v>
      </c>
      <c r="E24" s="30">
        <v>45384</v>
      </c>
      <c r="F24">
        <f>Table6[[#This Row],[QTY]]*Table6[[#This Row],[PRICE]]</f>
        <v>240</v>
      </c>
      <c r="H24" s="35" t="s">
        <v>96</v>
      </c>
      <c r="I24" s="36">
        <v>525</v>
      </c>
    </row>
    <row r="25" spans="2:9" x14ac:dyDescent="0.3">
      <c r="B25" s="30">
        <v>45445</v>
      </c>
      <c r="C25" s="31">
        <v>11</v>
      </c>
      <c r="D25" s="31">
        <v>50</v>
      </c>
      <c r="E25" s="30">
        <v>45445</v>
      </c>
      <c r="F25">
        <f>Table6[[#This Row],[QTY]]*Table6[[#This Row],[PRICE]]</f>
        <v>550</v>
      </c>
      <c r="H25" s="35" t="s">
        <v>58</v>
      </c>
      <c r="I25" s="36">
        <v>160</v>
      </c>
    </row>
    <row r="26" spans="2:9" x14ac:dyDescent="0.3">
      <c r="B26" s="30">
        <v>45475</v>
      </c>
      <c r="C26" s="31">
        <v>14</v>
      </c>
      <c r="D26" s="31">
        <v>10</v>
      </c>
      <c r="E26" s="30">
        <v>45475</v>
      </c>
      <c r="F26">
        <f>Table6[[#This Row],[QTY]]*Table6[[#This Row],[PRICE]]</f>
        <v>140</v>
      </c>
      <c r="H26" s="35" t="s">
        <v>98</v>
      </c>
      <c r="I26" s="36">
        <v>150</v>
      </c>
    </row>
    <row r="27" spans="2:9" x14ac:dyDescent="0.3">
      <c r="B27" s="30">
        <v>45506</v>
      </c>
      <c r="C27" s="31">
        <v>16</v>
      </c>
      <c r="D27" s="31">
        <v>25</v>
      </c>
      <c r="E27" s="30">
        <v>45506</v>
      </c>
      <c r="F27">
        <f>Table6[[#This Row],[QTY]]*Table6[[#This Row],[PRICE]]</f>
        <v>400</v>
      </c>
      <c r="H27" s="35" t="s">
        <v>60</v>
      </c>
      <c r="I27" s="36">
        <v>500</v>
      </c>
    </row>
    <row r="28" spans="2:9" x14ac:dyDescent="0.3">
      <c r="B28" s="30">
        <v>45537</v>
      </c>
      <c r="C28" s="31">
        <v>22</v>
      </c>
      <c r="D28" s="31">
        <v>5</v>
      </c>
      <c r="E28" s="30">
        <v>45537</v>
      </c>
      <c r="F28">
        <f>Table6[[#This Row],[QTY]]*Table6[[#This Row],[PRICE]]</f>
        <v>110</v>
      </c>
      <c r="H28" s="35" t="s">
        <v>62</v>
      </c>
      <c r="I28" s="36">
        <v>150</v>
      </c>
    </row>
    <row r="29" spans="2:9" x14ac:dyDescent="0.3">
      <c r="B29" s="30">
        <v>45567</v>
      </c>
      <c r="C29" s="31">
        <v>27</v>
      </c>
      <c r="D29" s="31">
        <v>8</v>
      </c>
      <c r="E29" s="30">
        <v>45567</v>
      </c>
      <c r="F29">
        <f>Table6[[#This Row],[QTY]]*Table6[[#This Row],[PRICE]]</f>
        <v>216</v>
      </c>
      <c r="H29" s="37">
        <v>45293</v>
      </c>
      <c r="I29" s="36">
        <v>450</v>
      </c>
    </row>
    <row r="30" spans="2:9" x14ac:dyDescent="0.3">
      <c r="B30" s="30">
        <v>45628</v>
      </c>
      <c r="C30" s="31">
        <v>13</v>
      </c>
      <c r="D30" s="31">
        <v>50</v>
      </c>
      <c r="E30" s="30">
        <v>45628</v>
      </c>
      <c r="F30">
        <f>Table6[[#This Row],[QTY]]*Table6[[#This Row],[PRICE]]</f>
        <v>650</v>
      </c>
      <c r="H30" s="37">
        <v>45294</v>
      </c>
      <c r="I30" s="36">
        <v>208</v>
      </c>
    </row>
    <row r="31" spans="2:9" x14ac:dyDescent="0.3">
      <c r="B31" s="30" t="s">
        <v>74</v>
      </c>
      <c r="C31" s="31">
        <v>32</v>
      </c>
      <c r="D31" s="31">
        <v>10</v>
      </c>
      <c r="E31" s="30" t="s">
        <v>74</v>
      </c>
      <c r="F31">
        <f>Table6[[#This Row],[QTY]]*Table6[[#This Row],[PRICE]]</f>
        <v>320</v>
      </c>
      <c r="H31" s="37">
        <v>45324</v>
      </c>
      <c r="I31" s="36">
        <v>450</v>
      </c>
    </row>
    <row r="32" spans="2:9" x14ac:dyDescent="0.3">
      <c r="B32" s="30" t="s">
        <v>76</v>
      </c>
      <c r="C32" s="31">
        <v>10</v>
      </c>
      <c r="D32" s="31">
        <v>25</v>
      </c>
      <c r="E32" s="30" t="s">
        <v>76</v>
      </c>
      <c r="F32">
        <f>Table6[[#This Row],[QTY]]*Table6[[#This Row],[PRICE]]</f>
        <v>250</v>
      </c>
      <c r="H32" s="37">
        <v>45325</v>
      </c>
      <c r="I32" s="36">
        <v>700</v>
      </c>
    </row>
    <row r="33" spans="2:9" x14ac:dyDescent="0.3">
      <c r="B33" s="30" t="s">
        <v>78</v>
      </c>
      <c r="C33" s="31">
        <v>18</v>
      </c>
      <c r="D33" s="31">
        <v>5</v>
      </c>
      <c r="E33" s="30" t="s">
        <v>78</v>
      </c>
      <c r="F33">
        <f>Table6[[#This Row],[QTY]]*Table6[[#This Row],[PRICE]]</f>
        <v>90</v>
      </c>
      <c r="H33" s="37">
        <v>45353</v>
      </c>
      <c r="I33" s="36">
        <v>175</v>
      </c>
    </row>
    <row r="34" spans="2:9" x14ac:dyDescent="0.3">
      <c r="B34" s="30" t="s">
        <v>80</v>
      </c>
      <c r="C34" s="31">
        <v>22</v>
      </c>
      <c r="D34" s="31">
        <v>8</v>
      </c>
      <c r="E34" s="30" t="s">
        <v>80</v>
      </c>
      <c r="F34">
        <f>Table6[[#This Row],[QTY]]*Table6[[#This Row],[PRICE]]</f>
        <v>176</v>
      </c>
      <c r="H34" s="37">
        <v>45354</v>
      </c>
      <c r="I34" s="36">
        <v>200</v>
      </c>
    </row>
    <row r="35" spans="2:9" x14ac:dyDescent="0.3">
      <c r="B35" s="30" t="s">
        <v>82</v>
      </c>
      <c r="C35" s="31">
        <v>17</v>
      </c>
      <c r="D35" s="31">
        <v>50</v>
      </c>
      <c r="E35" s="30" t="s">
        <v>82</v>
      </c>
      <c r="F35">
        <f>Table6[[#This Row],[QTY]]*Table6[[#This Row],[PRICE]]</f>
        <v>850</v>
      </c>
      <c r="H35" s="37">
        <v>45384</v>
      </c>
      <c r="I35" s="36">
        <v>240</v>
      </c>
    </row>
    <row r="36" spans="2:9" x14ac:dyDescent="0.3">
      <c r="B36" s="30" t="s">
        <v>84</v>
      </c>
      <c r="C36" s="31">
        <v>19</v>
      </c>
      <c r="D36" s="31">
        <v>10</v>
      </c>
      <c r="E36" s="30" t="s">
        <v>84</v>
      </c>
      <c r="F36">
        <f>Table6[[#This Row],[QTY]]*Table6[[#This Row],[PRICE]]</f>
        <v>190</v>
      </c>
      <c r="H36" s="37">
        <v>45385</v>
      </c>
      <c r="I36" s="36">
        <v>425</v>
      </c>
    </row>
    <row r="37" spans="2:9" x14ac:dyDescent="0.3">
      <c r="B37" s="30" t="s">
        <v>86</v>
      </c>
      <c r="C37" s="31">
        <v>15</v>
      </c>
      <c r="D37" s="31">
        <v>25</v>
      </c>
      <c r="E37" s="30" t="s">
        <v>86</v>
      </c>
      <c r="F37">
        <f>Table6[[#This Row],[QTY]]*Table6[[#This Row],[PRICE]]</f>
        <v>375</v>
      </c>
      <c r="H37" s="37">
        <v>45413</v>
      </c>
      <c r="I37" s="36">
        <v>500</v>
      </c>
    </row>
    <row r="38" spans="2:9" x14ac:dyDescent="0.3">
      <c r="B38" s="30" t="s">
        <v>88</v>
      </c>
      <c r="C38" s="31">
        <v>28</v>
      </c>
      <c r="D38" s="31">
        <v>5</v>
      </c>
      <c r="E38" s="30" t="s">
        <v>88</v>
      </c>
      <c r="F38">
        <f>Table6[[#This Row],[QTY]]*Table6[[#This Row],[PRICE]]</f>
        <v>140</v>
      </c>
      <c r="H38" s="37">
        <v>45415</v>
      </c>
      <c r="I38" s="36">
        <v>95</v>
      </c>
    </row>
    <row r="39" spans="2:9" x14ac:dyDescent="0.3">
      <c r="B39" s="30" t="s">
        <v>90</v>
      </c>
      <c r="C39" s="31">
        <v>24</v>
      </c>
      <c r="D39" s="31">
        <v>8</v>
      </c>
      <c r="E39" s="30" t="s">
        <v>90</v>
      </c>
      <c r="F39">
        <f>Table6[[#This Row],[QTY]]*Table6[[#This Row],[PRICE]]</f>
        <v>192</v>
      </c>
      <c r="H39" s="37">
        <v>45444</v>
      </c>
      <c r="I39" s="36">
        <v>200</v>
      </c>
    </row>
    <row r="40" spans="2:9" x14ac:dyDescent="0.3">
      <c r="B40" s="30" t="s">
        <v>92</v>
      </c>
      <c r="C40" s="31">
        <v>16</v>
      </c>
      <c r="D40" s="31">
        <v>50</v>
      </c>
      <c r="E40" s="30" t="s">
        <v>92</v>
      </c>
      <c r="F40">
        <f>Table6[[#This Row],[QTY]]*Table6[[#This Row],[PRICE]]</f>
        <v>800</v>
      </c>
      <c r="H40" s="37">
        <v>45445</v>
      </c>
      <c r="I40" s="36">
        <v>550</v>
      </c>
    </row>
    <row r="41" spans="2:9" x14ac:dyDescent="0.3">
      <c r="B41" s="30" t="s">
        <v>94</v>
      </c>
      <c r="C41" s="31">
        <v>27</v>
      </c>
      <c r="D41" s="31">
        <v>10</v>
      </c>
      <c r="E41" s="30" t="s">
        <v>94</v>
      </c>
      <c r="F41">
        <f>Table6[[#This Row],[QTY]]*Table6[[#This Row],[PRICE]]</f>
        <v>270</v>
      </c>
      <c r="H41" s="37">
        <v>45446</v>
      </c>
      <c r="I41" s="36">
        <v>256</v>
      </c>
    </row>
    <row r="42" spans="2:9" x14ac:dyDescent="0.3">
      <c r="B42" s="30" t="s">
        <v>96</v>
      </c>
      <c r="C42" s="31">
        <v>21</v>
      </c>
      <c r="D42" s="31">
        <v>25</v>
      </c>
      <c r="E42" s="30" t="s">
        <v>96</v>
      </c>
      <c r="F42">
        <f>Table6[[#This Row],[QTY]]*Table6[[#This Row],[PRICE]]</f>
        <v>525</v>
      </c>
      <c r="H42" s="37">
        <v>45474</v>
      </c>
      <c r="I42" s="36">
        <v>375</v>
      </c>
    </row>
    <row r="43" spans="2:9" x14ac:dyDescent="0.3">
      <c r="B43" s="30" t="s">
        <v>98</v>
      </c>
      <c r="C43" s="31">
        <v>30</v>
      </c>
      <c r="D43" s="31">
        <v>5</v>
      </c>
      <c r="E43" s="30" t="s">
        <v>98</v>
      </c>
      <c r="F43">
        <f>Table6[[#This Row],[QTY]]*Table6[[#This Row],[PRICE]]</f>
        <v>150</v>
      </c>
      <c r="H43" s="37">
        <v>45475</v>
      </c>
      <c r="I43" s="36">
        <v>140</v>
      </c>
    </row>
    <row r="44" spans="2:9" x14ac:dyDescent="0.3">
      <c r="B44" s="30">
        <v>45294</v>
      </c>
      <c r="C44" s="31">
        <v>26</v>
      </c>
      <c r="D44" s="31">
        <v>8</v>
      </c>
      <c r="E44" s="30">
        <v>45294</v>
      </c>
      <c r="F44">
        <f>Table6[[#This Row],[QTY]]*Table6[[#This Row],[PRICE]]</f>
        <v>208</v>
      </c>
      <c r="H44" s="37">
        <v>45476</v>
      </c>
      <c r="I44" s="36">
        <v>600</v>
      </c>
    </row>
    <row r="45" spans="2:9" x14ac:dyDescent="0.3">
      <c r="B45" s="30">
        <v>45325</v>
      </c>
      <c r="C45" s="31">
        <v>14</v>
      </c>
      <c r="D45" s="31">
        <v>50</v>
      </c>
      <c r="E45" s="30">
        <v>45325</v>
      </c>
      <c r="F45">
        <f>Table6[[#This Row],[QTY]]*Table6[[#This Row],[PRICE]]</f>
        <v>700</v>
      </c>
      <c r="H45" s="37">
        <v>45505</v>
      </c>
      <c r="I45" s="36">
        <v>250</v>
      </c>
    </row>
    <row r="46" spans="2:9" x14ac:dyDescent="0.3">
      <c r="B46" s="30">
        <v>45354</v>
      </c>
      <c r="C46" s="31">
        <v>20</v>
      </c>
      <c r="D46" s="31">
        <v>10</v>
      </c>
      <c r="E46" s="30">
        <v>45354</v>
      </c>
      <c r="F46">
        <f>Table6[[#This Row],[QTY]]*Table6[[#This Row],[PRICE]]</f>
        <v>200</v>
      </c>
      <c r="H46" s="37">
        <v>45506</v>
      </c>
      <c r="I46" s="36">
        <v>400</v>
      </c>
    </row>
    <row r="47" spans="2:9" x14ac:dyDescent="0.3">
      <c r="B47" s="30">
        <v>45385</v>
      </c>
      <c r="C47" s="31">
        <v>17</v>
      </c>
      <c r="D47" s="31">
        <v>25</v>
      </c>
      <c r="E47" s="30">
        <v>45385</v>
      </c>
      <c r="F47">
        <f>Table6[[#This Row],[QTY]]*Table6[[#This Row],[PRICE]]</f>
        <v>425</v>
      </c>
      <c r="H47" s="37">
        <v>45507</v>
      </c>
      <c r="I47" s="36">
        <v>250</v>
      </c>
    </row>
    <row r="48" spans="2:9" x14ac:dyDescent="0.3">
      <c r="B48" s="30">
        <v>45415</v>
      </c>
      <c r="C48" s="31">
        <v>19</v>
      </c>
      <c r="D48" s="31">
        <v>5</v>
      </c>
      <c r="E48" s="30">
        <v>45415</v>
      </c>
      <c r="F48">
        <f>Table6[[#This Row],[QTY]]*Table6[[#This Row],[PRICE]]</f>
        <v>95</v>
      </c>
      <c r="H48" s="37">
        <v>45537</v>
      </c>
      <c r="I48" s="36">
        <v>110</v>
      </c>
    </row>
    <row r="49" spans="2:9" x14ac:dyDescent="0.3">
      <c r="B49" s="30">
        <v>45446</v>
      </c>
      <c r="C49" s="31">
        <v>32</v>
      </c>
      <c r="D49" s="31">
        <v>8</v>
      </c>
      <c r="E49" s="30">
        <v>45446</v>
      </c>
      <c r="F49">
        <f>Table6[[#This Row],[QTY]]*Table6[[#This Row],[PRICE]]</f>
        <v>256</v>
      </c>
      <c r="H49" s="37">
        <v>45566</v>
      </c>
      <c r="I49" s="36">
        <v>150</v>
      </c>
    </row>
    <row r="50" spans="2:9" x14ac:dyDescent="0.3">
      <c r="B50" s="30">
        <v>45476</v>
      </c>
      <c r="C50" s="31">
        <v>12</v>
      </c>
      <c r="D50" s="31">
        <v>50</v>
      </c>
      <c r="E50" s="30">
        <v>45476</v>
      </c>
      <c r="F50">
        <f>Table6[[#This Row],[QTY]]*Table6[[#This Row],[PRICE]]</f>
        <v>600</v>
      </c>
      <c r="H50" s="37">
        <v>45567</v>
      </c>
      <c r="I50" s="36">
        <v>216</v>
      </c>
    </row>
    <row r="51" spans="2:9" x14ac:dyDescent="0.3">
      <c r="B51" s="30">
        <v>45507</v>
      </c>
      <c r="C51" s="31">
        <v>25</v>
      </c>
      <c r="D51" s="31">
        <v>10</v>
      </c>
      <c r="E51" s="30">
        <v>45507</v>
      </c>
      <c r="F51">
        <f>Table6[[#This Row],[QTY]]*Table6[[#This Row],[PRICE]]</f>
        <v>250</v>
      </c>
      <c r="H51" s="37">
        <v>45597</v>
      </c>
      <c r="I51" s="36">
        <v>600</v>
      </c>
    </row>
    <row r="52" spans="2:9" x14ac:dyDescent="0.3">
      <c r="H52" s="37">
        <v>45628</v>
      </c>
      <c r="I52" s="36">
        <v>650</v>
      </c>
    </row>
    <row r="53" spans="2:9" x14ac:dyDescent="0.3">
      <c r="H53" s="35" t="s">
        <v>115</v>
      </c>
      <c r="I53" s="36">
        <v>16543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027623-B9B5-4140-B87B-D6BAD053A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 2,3</vt:lpstr>
      <vt:lpstr>ANS 4,5,6</vt:lpstr>
      <vt:lpstr>ANS 7</vt:lpstr>
      <vt:lpstr>ANS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MEHTA</dc:creator>
  <cp:lastModifiedBy>ROSHAN MEHTA</cp:lastModifiedBy>
  <dcterms:created xsi:type="dcterms:W3CDTF">2026-01-10T16:16:49Z</dcterms:created>
  <dcterms:modified xsi:type="dcterms:W3CDTF">2026-01-10T19:38:55Z</dcterms:modified>
</cp:coreProperties>
</file>