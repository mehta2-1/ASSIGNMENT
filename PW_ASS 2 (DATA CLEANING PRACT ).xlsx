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322a1c909aff64/Documents/"/>
    </mc:Choice>
  </mc:AlternateContent>
  <xr:revisionPtr revIDLastSave="554" documentId="8_{673ED144-5BD2-4BBE-903A-123F4ED49870}" xr6:coauthVersionLast="47" xr6:coauthVersionMax="47" xr10:uidLastSave="{EAA30435-F6D6-487F-BCBF-2563E2F08CC3}"/>
  <workbookProtection workbookAlgorithmName="SHA-512" workbookHashValue="iaAVu8T6rtNwp1OJMdjs+sRDDBdHEZda8V2tlpMA018+1zGOiuv3Y/rsGrCuqtENCnpMz+gVLUCCG2Ts99kz5Q==" workbookSaltValue="Tre7S/djxa21h7zHf/RheA==" workbookSpinCount="100000" lockStructure="1"/>
  <bookViews>
    <workbookView xWindow="-108" yWindow="-108" windowWidth="23256" windowHeight="12456" activeTab="1" xr2:uid="{A2AED280-1A27-4B71-AA26-C756885BFE87}"/>
  </bookViews>
  <sheets>
    <sheet name="Q2 , Q5" sheetId="3" r:id="rId1"/>
    <sheet name="Q6, Q7, Q8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4" l="1"/>
  <c r="E15" i="4"/>
  <c r="J9" i="4"/>
  <c r="J8" i="4"/>
  <c r="J7" i="4"/>
  <c r="J6" i="4"/>
  <c r="J5" i="4"/>
  <c r="C10" i="4"/>
  <c r="C9" i="4"/>
  <c r="C8" i="4"/>
  <c r="C7" i="4"/>
  <c r="C6" i="4"/>
</calcChain>
</file>

<file path=xl/sharedStrings.xml><?xml version="1.0" encoding="utf-8"?>
<sst xmlns="http://schemas.openxmlformats.org/spreadsheetml/2006/main" count="91" uniqueCount="66">
  <si>
    <t>Sonu</t>
  </si>
  <si>
    <t>Pranav</t>
  </si>
  <si>
    <t>Rahul</t>
  </si>
  <si>
    <t>IT</t>
  </si>
  <si>
    <t>HR</t>
  </si>
  <si>
    <t>EMPLOYEE</t>
  </si>
  <si>
    <t>DEPARTMENT</t>
  </si>
  <si>
    <t>SALARY</t>
  </si>
  <si>
    <t>Jane Smith</t>
  </si>
  <si>
    <t>Alex Moore</t>
  </si>
  <si>
    <t>Isabella Davis</t>
  </si>
  <si>
    <t>Isabella Moore</t>
  </si>
  <si>
    <t>Michael Johnson</t>
  </si>
  <si>
    <t>Jane Davis</t>
  </si>
  <si>
    <t>Daniel Davis</t>
  </si>
  <si>
    <t>Daniel Johnson</t>
  </si>
  <si>
    <t>Alex Wilson</t>
  </si>
  <si>
    <t>Customer Name</t>
  </si>
  <si>
    <t>Product Name</t>
  </si>
  <si>
    <t>Category</t>
  </si>
  <si>
    <t>Quantity</t>
  </si>
  <si>
    <t>Unit Price ($)</t>
  </si>
  <si>
    <t>Shoes</t>
  </si>
  <si>
    <t>Electronics</t>
  </si>
  <si>
    <t>Laptop</t>
  </si>
  <si>
    <t>Sofa</t>
  </si>
  <si>
    <t>Clothing</t>
  </si>
  <si>
    <t>Table Lamp</t>
  </si>
  <si>
    <t>Home Decor</t>
  </si>
  <si>
    <t>Backpack</t>
  </si>
  <si>
    <t>Headphones</t>
  </si>
  <si>
    <t>T-shirt</t>
  </si>
  <si>
    <t>Q5</t>
  </si>
  <si>
    <t>Q2</t>
  </si>
  <si>
    <t>DATA     SORTED   ACCORDINGLY</t>
  </si>
  <si>
    <t>ExcelTipsAreGrea</t>
  </si>
  <si>
    <t>A</t>
  </si>
  <si>
    <t>B</t>
  </si>
  <si>
    <t>C</t>
  </si>
  <si>
    <t>DataAnalysis.xlsx</t>
  </si>
  <si>
    <t>D</t>
  </si>
  <si>
    <t>Hello World!</t>
  </si>
  <si>
    <t>E</t>
  </si>
  <si>
    <t>12345-67890-ABCDE</t>
  </si>
  <si>
    <t>S.NO</t>
  </si>
  <si>
    <t>INPUT</t>
  </si>
  <si>
    <t>OUTPUT</t>
  </si>
  <si>
    <t>Q6</t>
  </si>
  <si>
    <t>Hello</t>
  </si>
  <si>
    <t>World</t>
  </si>
  <si>
    <t>Apple</t>
  </si>
  <si>
    <t>Banana</t>
  </si>
  <si>
    <t>cherry</t>
  </si>
  <si>
    <t>:</t>
  </si>
  <si>
    <t>Excels  function</t>
  </si>
  <si>
    <t>Sheetal</t>
  </si>
  <si>
    <t>Mehta</t>
  </si>
  <si>
    <t>INPUT 1</t>
  </si>
  <si>
    <t>INPUT 2</t>
  </si>
  <si>
    <t>INPUT 3</t>
  </si>
  <si>
    <t>RANGE</t>
  </si>
  <si>
    <t>G3 TO H5</t>
  </si>
  <si>
    <t xml:space="preserve"> USING TEXT JOIN</t>
  </si>
  <si>
    <t>_</t>
  </si>
  <si>
    <t>Q7</t>
  </si>
  <si>
    <t>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</si>
</sst>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2" formatCode="[$-409]m/d/yy\ h:mm\ AM/PM;@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 val="double"/>
      <sz val="11"/>
      <color theme="9" tint="-0.249977111117893"/>
      <name val="Aptos Narrow"/>
      <family val="2"/>
      <scheme val="minor"/>
    </font>
    <font>
      <sz val="11"/>
      <color theme="7" tint="0.39997558519241921"/>
      <name val="Aptos Narrow"/>
      <family val="2"/>
      <scheme val="minor"/>
    </font>
    <font>
      <b/>
      <sz val="18"/>
      <color theme="1"/>
      <name val="ADLaM Display"/>
    </font>
    <font>
      <b/>
      <sz val="12"/>
      <color theme="1"/>
      <name val="ADLaM Display"/>
    </font>
    <font>
      <b/>
      <sz val="20"/>
      <color theme="9" tint="-0.499984740745262"/>
      <name val="ADLaM Display"/>
    </font>
    <font>
      <sz val="12"/>
      <color theme="1"/>
      <name val="ADLaM Display"/>
    </font>
    <font>
      <sz val="22"/>
      <color theme="5" tint="-0.249977111117893"/>
      <name val="ADLaM Display"/>
    </font>
    <font>
      <b/>
      <sz val="12"/>
      <color theme="9" tint="-0.249977111117893"/>
      <name val="ADLaM Display"/>
    </font>
    <font>
      <b/>
      <sz val="26"/>
      <color theme="7" tint="0.39997558519241921"/>
      <name val="Amasis MT Pro Black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0" borderId="4" xfId="0" applyFont="1" applyBorder="1"/>
    <xf numFmtId="0" fontId="1" fillId="0" borderId="2" xfId="0" applyFont="1" applyBorder="1"/>
    <xf numFmtId="0" fontId="1" fillId="0" borderId="3" xfId="0" applyFont="1" applyFill="1" applyBorder="1"/>
    <xf numFmtId="0" fontId="2" fillId="0" borderId="0" xfId="0" applyFont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4" borderId="0" xfId="0" applyFont="1" applyFill="1"/>
    <xf numFmtId="0" fontId="4" fillId="3" borderId="0" xfId="0" applyFont="1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5" fillId="5" borderId="1" xfId="0" applyFont="1" applyFill="1" applyBorder="1"/>
    <xf numFmtId="0" fontId="0" fillId="0" borderId="0" xfId="0" applyBorder="1"/>
    <xf numFmtId="0" fontId="6" fillId="0" borderId="0" xfId="0" applyFont="1"/>
    <xf numFmtId="0" fontId="7" fillId="0" borderId="1" xfId="0" applyFont="1" applyFill="1" applyBorder="1" applyAlignment="1">
      <alignment horizontal="center"/>
    </xf>
    <xf numFmtId="0" fontId="0" fillId="0" borderId="1" xfId="0" applyFont="1" applyBorder="1" applyAlignment="1"/>
    <xf numFmtId="0" fontId="0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/>
    <xf numFmtId="0" fontId="8" fillId="0" borderId="0" xfId="0" applyFont="1"/>
    <xf numFmtId="14" fontId="0" fillId="0" borderId="0" xfId="0" applyNumberFormat="1"/>
    <xf numFmtId="14" fontId="9" fillId="6" borderId="1" xfId="0" applyNumberFormat="1" applyFont="1" applyFill="1" applyBorder="1"/>
    <xf numFmtId="0" fontId="9" fillId="6" borderId="1" xfId="0" applyNumberFormat="1" applyFont="1" applyFill="1" applyBorder="1"/>
    <xf numFmtId="0" fontId="9" fillId="6" borderId="1" xfId="0" applyFont="1" applyFill="1" applyBorder="1"/>
    <xf numFmtId="172" fontId="9" fillId="6" borderId="1" xfId="0" applyNumberFormat="1" applyFont="1" applyFill="1" applyBorder="1"/>
    <xf numFmtId="0" fontId="10" fillId="0" borderId="0" xfId="0" applyFont="1" applyAlignment="1">
      <alignment horizont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198530F9-FA44-4D58-8E53-F412900E940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510240</xdr:colOff>
      <xdr:row>12</xdr:row>
      <xdr:rowOff>106560</xdr:rowOff>
    </xdr:from>
    <xdr:to>
      <xdr:col>1</xdr:col>
      <xdr:colOff>510600</xdr:colOff>
      <xdr:row>12</xdr:row>
      <xdr:rowOff>106920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9483E21B-1EA0-ECD0-2C6A-499C585FB288}"/>
                </a:ext>
              </a:extLst>
            </xdr14:cNvPr>
            <xdr14:cNvContentPartPr/>
          </xdr14:nvContentPartPr>
          <xdr14:nvPr macro=""/>
          <xdr14:xfrm>
            <a:off x="1180800" y="1752480"/>
            <a:ext cx="360" cy="36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9483E21B-1EA0-ECD0-2C6A-499C585FB28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74680" y="17463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768960</xdr:colOff>
      <xdr:row>10</xdr:row>
      <xdr:rowOff>159840</xdr:rowOff>
    </xdr:from>
    <xdr:to>
      <xdr:col>4</xdr:col>
      <xdr:colOff>777600</xdr:colOff>
      <xdr:row>10</xdr:row>
      <xdr:rowOff>190440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FE1769D3-2D31-D72D-10EF-86BA4CC24DF7}"/>
                </a:ext>
              </a:extLst>
            </xdr14:cNvPr>
            <xdr14:cNvContentPartPr/>
          </xdr14:nvContentPartPr>
          <xdr14:nvPr macro=""/>
          <xdr14:xfrm>
            <a:off x="3512160" y="1440000"/>
            <a:ext cx="8640" cy="30600"/>
          </xdr14:xfrm>
        </xdr:contentPart>
      </mc:Choice>
      <mc:Fallback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FE1769D3-2D31-D72D-10EF-86BA4CC24DF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503160" y="1386000"/>
              <a:ext cx="26280" cy="13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777240</xdr:colOff>
      <xdr:row>8</xdr:row>
      <xdr:rowOff>45720</xdr:rowOff>
    </xdr:from>
    <xdr:to>
      <xdr:col>4</xdr:col>
      <xdr:colOff>777960</xdr:colOff>
      <xdr:row>9</xdr:row>
      <xdr:rowOff>251880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29271A33-E0E5-A5C6-3F75-454E1FA6778E}"/>
                </a:ext>
              </a:extLst>
            </xdr14:cNvPr>
            <xdr14:cNvContentPartPr/>
          </xdr14:nvContentPartPr>
          <xdr14:nvPr macro=""/>
          <xdr14:xfrm>
            <a:off x="3520440" y="960120"/>
            <a:ext cx="720" cy="495720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29271A33-E0E5-A5C6-3F75-454E1FA6778E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484440" y="942120"/>
              <a:ext cx="72000" cy="53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654120</xdr:colOff>
      <xdr:row>8</xdr:row>
      <xdr:rowOff>15120</xdr:rowOff>
    </xdr:from>
    <xdr:to>
      <xdr:col>4</xdr:col>
      <xdr:colOff>882720</xdr:colOff>
      <xdr:row>8</xdr:row>
      <xdr:rowOff>258120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214A87A1-BC22-E1B1-EF47-38F011A7E038}"/>
                </a:ext>
              </a:extLst>
            </xdr14:cNvPr>
            <xdr14:cNvContentPartPr/>
          </xdr14:nvContentPartPr>
          <xdr14:nvPr macro=""/>
          <xdr14:xfrm>
            <a:off x="3397320" y="929520"/>
            <a:ext cx="228600" cy="243000"/>
          </xdr14:xfrm>
        </xdr:contentPart>
      </mc:Choice>
      <mc:Fallback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214A87A1-BC22-E1B1-EF47-38F011A7E03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379652" y="911520"/>
              <a:ext cx="264296" cy="27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936120</xdr:colOff>
      <xdr:row>11</xdr:row>
      <xdr:rowOff>60480</xdr:rowOff>
    </xdr:from>
    <xdr:to>
      <xdr:col>3</xdr:col>
      <xdr:colOff>129600</xdr:colOff>
      <xdr:row>11</xdr:row>
      <xdr:rowOff>61200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2F5FDB5C-B808-A1E6-1207-73F084728AC8}"/>
                </a:ext>
              </a:extLst>
            </xdr14:cNvPr>
            <xdr14:cNvContentPartPr/>
          </xdr14:nvContentPartPr>
          <xdr14:nvPr macro=""/>
          <xdr14:xfrm>
            <a:off x="1606680" y="1523520"/>
            <a:ext cx="1128960" cy="720"/>
          </xdr14:xfrm>
        </xdr:contentPart>
      </mc:Choice>
      <mc:Fallback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2F5FDB5C-B808-A1E6-1207-73F084728AC8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588680" y="1487520"/>
              <a:ext cx="11646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22800</xdr:colOff>
      <xdr:row>10</xdr:row>
      <xdr:rowOff>129600</xdr:rowOff>
    </xdr:from>
    <xdr:to>
      <xdr:col>2</xdr:col>
      <xdr:colOff>342480</xdr:colOff>
      <xdr:row>10</xdr:row>
      <xdr:rowOff>243720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F80B947A-C768-7D1E-543A-A902E28F12F8}"/>
                </a:ext>
              </a:extLst>
            </xdr14:cNvPr>
            <xdr14:cNvContentPartPr/>
          </xdr14:nvContentPartPr>
          <xdr14:nvPr macro=""/>
          <xdr14:xfrm>
            <a:off x="1653480" y="1409760"/>
            <a:ext cx="319680" cy="114120"/>
          </xdr14:xfrm>
        </xdr:contentPart>
      </mc:Choice>
      <mc:Fallback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F80B947A-C768-7D1E-543A-A902E28F12F8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635480" y="1392120"/>
              <a:ext cx="355320" cy="14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7320</xdr:colOff>
      <xdr:row>11</xdr:row>
      <xdr:rowOff>83880</xdr:rowOff>
    </xdr:from>
    <xdr:to>
      <xdr:col>2</xdr:col>
      <xdr:colOff>242040</xdr:colOff>
      <xdr:row>11</xdr:row>
      <xdr:rowOff>262080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00362457-AC68-9B20-7135-18A50AC55966}"/>
                </a:ext>
              </a:extLst>
            </xdr14:cNvPr>
            <xdr14:cNvContentPartPr/>
          </xdr14:nvContentPartPr>
          <xdr14:nvPr macro=""/>
          <xdr14:xfrm>
            <a:off x="1638000" y="1546920"/>
            <a:ext cx="234720" cy="178200"/>
          </xdr14:xfrm>
        </xdr:contentPart>
      </mc:Choice>
      <mc:Fallback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00362457-AC68-9B20-7135-18A50AC55966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620000" y="1528920"/>
              <a:ext cx="270360" cy="213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5T12:21:43.97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5T12:26:09.043"/>
    </inkml:context>
    <inkml:brush xml:id="br0">
      <inkml:brushProperty name="width" value="0.05" units="cm"/>
      <inkml:brushProperty name="height" value="0.3" units="cm"/>
      <inkml:brushProperty name="color" value="#008C3A"/>
      <inkml:brushProperty name="ignorePressure" value="1"/>
      <inkml:brushProperty name="inkEffects" value="pencil"/>
    </inkml:brush>
  </inkml:definitions>
  <inkml:trace contextRef="#ctx0" brushRef="#br0">4 90 0,'23'-84'0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5T12:26:34.56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0 21389,'0'1376'0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5T12:26:38.77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385 21 24575,'-3'1'0,"1"-1"0,0 0 0,0 1 0,0-1 0,0 1 0,0 0 0,0 0 0,0 0 0,0 0 0,0 0 0,0 0 0,0 0 0,1 1 0,-1-1 0,0 0 0,1 1 0,-1 0 0,1-1 0,0 1 0,-1 0 0,1 0 0,-2 3 0,-2 5 0,0 1 0,1 0 0,-3 12 0,2-8 0,0 0 0,0 0 0,0 0 0,-2-1 0,0 0 0,0 0 0,-1-1 0,-1 0 0,0 0 0,-12 11 0,2-3 0,-21 29 0,-4 4 0,39-47 0,0 0 0,0 0 0,0 0 0,1 1 0,0 0 0,1 0 0,0 0 0,-4 15 0,5-15 0,-1-1 0,-1 0 0,1 0 0,-1 0 0,0 0 0,0 0 0,-1-1 0,-10 10 0,11-11 0,0-1 0,0 1 0,0 0 0,0 0 0,1 0 0,0 0 0,0 1 0,0-1 0,1 1 0,0 0 0,0-1 0,0 1 0,-1 11 0,2 3-1365,1-2-5461</inkml:trace>
  <inkml:trace contextRef="#ctx0" brushRef="#br0" timeOffset="2732.09">343 0 24575,'-2'63'0,"1"-21"0,6 62 0,-4-91 0,1 0 0,1 0 0,0 0 0,1 0 0,1-1 0,0 0 0,0 0 0,14 23 0,137 172 0,-70-89-1365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5T12:27:14.06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3135 8 24336,'-3135'0'0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5T12:27:19.53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1 317 24575,'43'-17'0,"-26"12"0,-1-1 0,1 2 0,1 0 0,-1 1 0,24-1 0,-26 3 0,0-1 0,0-1 0,-1 0 0,26-9 0,-25 7 0,1 0 0,-1 1 0,31-3 0,-23 4 0,0-1 0,-1-1 0,0-2 0,0 0 0,38-18 0,-25 11 0,116-51 0,-81 30 0,-59 30-227,1-1-1,-2 1 1,1-2-1,-1 0 1,19-16-1,-13 10-6598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5T12:27:22.897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0 24575,'0'5'0,"0"0"0,1 0 0,0 0 0,0-1 0,0 1 0,1 0 0,0-1 0,-1 1 0,2-1 0,-1 0 0,0 1 0,1-1 0,0 0 0,0-1 0,0 1 0,0 0 0,7 4 0,7 6 0,0-1 0,36 19 0,-33-21 0,27 21 0,-40-27 0,0 0 0,1-1 0,-1 0 0,1 0 0,-1-1 0,15 4 0,-13-4 0,0 0 0,0 1 0,0-1 0,-1 2 0,13 7 0,39 32 0,101 53 0,-153-93-85,-1 0 0,1 0-1,-1 1 1,0-1 0,0 2-1,-1-1 1,1 1 0,-1 0-1,-1 0 1,1 1 0,-1-1-1,0 1 1,0 0 0,-1 1-1,6 13 1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8079B1-C128-40D4-977D-95E9E373AB07}" name="Table3" displayName="Table3" ref="B10:B13" totalsRowShown="0" headerRowDxfId="6" dataDxfId="7" headerRowBorderDxfId="10" tableBorderDxfId="11" totalsRowBorderDxfId="9">
  <autoFilter ref="B10:B13" xr:uid="{358079B1-C128-40D4-977D-95E9E373AB07}"/>
  <sortState xmlns:xlrd2="http://schemas.microsoft.com/office/spreadsheetml/2017/richdata2" ref="B11:B13">
    <sortCondition ref="B10:B13"/>
  </sortState>
  <tableColumns count="1">
    <tableColumn id="1" xr3:uid="{4B0B80C9-095D-4485-ACA7-57ABC88C9123}" name="DEPARTMENT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916761-5EC3-43C6-B159-4BFDE6050517}" name="Table4" displayName="Table4" ref="E5:E8" totalsRowShown="0" headerRowDxfId="0" dataDxfId="1" headerRowBorderDxfId="4" tableBorderDxfId="5" totalsRowBorderDxfId="3">
  <autoFilter ref="E5:E8" xr:uid="{E2916761-5EC3-43C6-B159-4BFDE6050517}"/>
  <sortState xmlns:xlrd2="http://schemas.microsoft.com/office/spreadsheetml/2017/richdata2" ref="E6:E8">
    <sortCondition descending="1" ref="E5:E8"/>
  </sortState>
  <tableColumns count="1">
    <tableColumn id="1" xr3:uid="{18F7D74B-84EC-41B7-8D1D-247177D2E9DD}" name="SALA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DB3D-DDFE-4209-9284-C73F0BD62FBD}">
  <dimension ref="A2:N15"/>
  <sheetViews>
    <sheetView workbookViewId="0">
      <selection activeCell="C10" sqref="C10"/>
    </sheetView>
  </sheetViews>
  <sheetFormatPr defaultColWidth="14.109375" defaultRowHeight="22.8" customHeight="1" x14ac:dyDescent="0.3"/>
  <cols>
    <col min="5" max="5" width="15" customWidth="1"/>
  </cols>
  <sheetData>
    <row r="2" spans="1:14" ht="22.8" customHeight="1" x14ac:dyDescent="0.5">
      <c r="D2" s="9" t="s">
        <v>33</v>
      </c>
    </row>
    <row r="3" spans="1:14" ht="22.8" customHeight="1" x14ac:dyDescent="0.5">
      <c r="K3" s="10" t="s">
        <v>32</v>
      </c>
    </row>
    <row r="5" spans="1:14" ht="22.8" customHeight="1" x14ac:dyDescent="0.3">
      <c r="A5" s="2" t="s">
        <v>5</v>
      </c>
      <c r="B5" s="2" t="s">
        <v>6</v>
      </c>
      <c r="C5" s="2" t="s">
        <v>7</v>
      </c>
      <c r="E5" s="5" t="s">
        <v>7</v>
      </c>
    </row>
    <row r="6" spans="1:14" ht="22.8" customHeight="1" x14ac:dyDescent="0.3">
      <c r="A6" s="1" t="s">
        <v>0</v>
      </c>
      <c r="B6" s="1" t="s">
        <v>3</v>
      </c>
      <c r="C6" s="1">
        <v>4000</v>
      </c>
      <c r="E6" s="3">
        <v>5000</v>
      </c>
      <c r="J6" s="7" t="s">
        <v>17</v>
      </c>
      <c r="K6" s="7" t="s">
        <v>18</v>
      </c>
      <c r="L6" s="7" t="s">
        <v>19</v>
      </c>
      <c r="M6" s="7" t="s">
        <v>20</v>
      </c>
      <c r="N6" s="7" t="s">
        <v>21</v>
      </c>
    </row>
    <row r="7" spans="1:14" ht="22.8" customHeight="1" x14ac:dyDescent="0.3">
      <c r="A7" s="1" t="s">
        <v>1</v>
      </c>
      <c r="B7" s="1" t="s">
        <v>4</v>
      </c>
      <c r="C7" s="1">
        <v>5000</v>
      </c>
      <c r="E7" s="3">
        <v>4000</v>
      </c>
      <c r="J7" s="8" t="s">
        <v>8</v>
      </c>
      <c r="K7" s="8" t="s">
        <v>22</v>
      </c>
      <c r="L7" s="8" t="s">
        <v>23</v>
      </c>
      <c r="M7" s="8"/>
      <c r="N7" s="8">
        <v>81</v>
      </c>
    </row>
    <row r="8" spans="1:14" ht="22.8" customHeight="1" x14ac:dyDescent="0.3">
      <c r="A8" s="1" t="s">
        <v>2</v>
      </c>
      <c r="B8" s="1" t="s">
        <v>3</v>
      </c>
      <c r="C8" s="1">
        <v>2500</v>
      </c>
      <c r="E8" s="4">
        <v>2500</v>
      </c>
      <c r="J8" s="8" t="s">
        <v>11</v>
      </c>
      <c r="K8" s="8" t="s">
        <v>24</v>
      </c>
      <c r="L8" s="8" t="s">
        <v>23</v>
      </c>
      <c r="M8" s="8"/>
      <c r="N8" s="8">
        <v>121</v>
      </c>
    </row>
    <row r="9" spans="1:14" ht="22.8" customHeight="1" x14ac:dyDescent="0.3">
      <c r="J9" s="8" t="s">
        <v>14</v>
      </c>
      <c r="K9" s="8" t="s">
        <v>25</v>
      </c>
      <c r="L9" s="8" t="s">
        <v>26</v>
      </c>
      <c r="M9" s="8"/>
      <c r="N9" s="8">
        <v>239</v>
      </c>
    </row>
    <row r="10" spans="1:14" ht="22.8" customHeight="1" x14ac:dyDescent="0.3">
      <c r="B10" s="5" t="s">
        <v>6</v>
      </c>
      <c r="J10" s="8" t="s">
        <v>9</v>
      </c>
      <c r="K10" s="8" t="s">
        <v>22</v>
      </c>
      <c r="L10" s="8" t="s">
        <v>23</v>
      </c>
      <c r="M10" s="8"/>
      <c r="N10" s="8">
        <v>500</v>
      </c>
    </row>
    <row r="11" spans="1:14" ht="22.8" customHeight="1" x14ac:dyDescent="0.3">
      <c r="B11" s="3" t="s">
        <v>4</v>
      </c>
      <c r="J11" s="8" t="s">
        <v>12</v>
      </c>
      <c r="K11" s="8" t="s">
        <v>27</v>
      </c>
      <c r="L11" s="8" t="s">
        <v>28</v>
      </c>
      <c r="M11" s="8"/>
      <c r="N11" s="8">
        <v>423</v>
      </c>
    </row>
    <row r="12" spans="1:14" ht="30" customHeight="1" x14ac:dyDescent="0.3">
      <c r="B12" s="3" t="s">
        <v>3</v>
      </c>
      <c r="E12" s="6" t="s">
        <v>34</v>
      </c>
      <c r="J12" s="8" t="s">
        <v>15</v>
      </c>
      <c r="K12" s="8" t="s">
        <v>29</v>
      </c>
      <c r="L12" s="8" t="s">
        <v>23</v>
      </c>
      <c r="M12" s="8"/>
      <c r="N12" s="8">
        <v>160</v>
      </c>
    </row>
    <row r="13" spans="1:14" ht="22.8" customHeight="1" x14ac:dyDescent="0.3">
      <c r="B13" s="4" t="s">
        <v>3</v>
      </c>
      <c r="J13" s="8" t="s">
        <v>10</v>
      </c>
      <c r="K13" s="8" t="s">
        <v>30</v>
      </c>
      <c r="L13" s="8" t="s">
        <v>23</v>
      </c>
      <c r="M13" s="8"/>
      <c r="N13" s="8">
        <v>348</v>
      </c>
    </row>
    <row r="14" spans="1:14" ht="22.8" customHeight="1" x14ac:dyDescent="0.3">
      <c r="J14" s="8" t="s">
        <v>13</v>
      </c>
      <c r="K14" s="8" t="s">
        <v>30</v>
      </c>
      <c r="L14" s="8" t="s">
        <v>23</v>
      </c>
      <c r="M14" s="8"/>
      <c r="N14" s="8">
        <v>152</v>
      </c>
    </row>
    <row r="15" spans="1:14" ht="22.8" customHeight="1" x14ac:dyDescent="0.3">
      <c r="J15" s="8" t="s">
        <v>16</v>
      </c>
      <c r="K15" s="8" t="s">
        <v>31</v>
      </c>
      <c r="L15" s="8" t="s">
        <v>28</v>
      </c>
      <c r="M15" s="8"/>
      <c r="N15" s="8">
        <v>369</v>
      </c>
    </row>
  </sheetData>
  <dataValidations count="1">
    <dataValidation type="whole" errorStyle="warning" allowBlank="1" showInputMessage="1" showErrorMessage="1" error="Invalid input! The quantity must be a whole number between 1 and 10." prompt="please enter only whole number between 1 &amp; 10." sqref="M6:M15" xr:uid="{A31A0A06-B4F1-495A-8EF7-FC48A3028C8D}">
      <formula1>1</formula1>
      <formula2>10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B558-67A5-48C4-BE51-01BCEA34EC78}">
  <dimension ref="A2:J16"/>
  <sheetViews>
    <sheetView tabSelected="1" workbookViewId="0">
      <selection activeCell="B13" sqref="B13"/>
    </sheetView>
  </sheetViews>
  <sheetFormatPr defaultRowHeight="14.4" x14ac:dyDescent="0.3"/>
  <cols>
    <col min="2" max="2" width="18.21875" bestFit="1" customWidth="1"/>
    <col min="3" max="3" width="10.6640625" bestFit="1" customWidth="1"/>
    <col min="4" max="4" width="13.109375" bestFit="1" customWidth="1"/>
    <col min="5" max="5" width="23" bestFit="1" customWidth="1"/>
    <col min="6" max="6" width="11.33203125" customWidth="1"/>
    <col min="7" max="7" width="14.88671875" bestFit="1" customWidth="1"/>
    <col min="8" max="8" width="15.44140625" bestFit="1" customWidth="1"/>
    <col min="9" max="9" width="15.33203125" bestFit="1" customWidth="1"/>
    <col min="10" max="10" width="39.44140625" customWidth="1"/>
  </cols>
  <sheetData>
    <row r="2" spans="1:10" ht="31.2" x14ac:dyDescent="0.65">
      <c r="H2" s="21" t="s">
        <v>64</v>
      </c>
    </row>
    <row r="3" spans="1:10" s="14" customFormat="1" x14ac:dyDescent="0.3"/>
    <row r="4" spans="1:10" ht="27" x14ac:dyDescent="0.55000000000000004">
      <c r="B4" s="15" t="s">
        <v>47</v>
      </c>
      <c r="F4" s="19" t="s">
        <v>44</v>
      </c>
      <c r="G4" s="20" t="s">
        <v>57</v>
      </c>
      <c r="H4" s="19" t="s">
        <v>58</v>
      </c>
      <c r="I4" s="19" t="s">
        <v>59</v>
      </c>
      <c r="J4" s="19" t="s">
        <v>46</v>
      </c>
    </row>
    <row r="5" spans="1:10" ht="16.8" x14ac:dyDescent="0.35">
      <c r="A5" s="13" t="s">
        <v>44</v>
      </c>
      <c r="B5" s="13" t="s">
        <v>45</v>
      </c>
      <c r="C5" s="13" t="s">
        <v>46</v>
      </c>
      <c r="F5" s="16" t="s">
        <v>36</v>
      </c>
      <c r="G5" s="17" t="s">
        <v>48</v>
      </c>
      <c r="H5" s="18" t="s">
        <v>49</v>
      </c>
      <c r="I5" s="18" t="s">
        <v>63</v>
      </c>
      <c r="J5" s="18" t="str">
        <f>_xlfn.CONCAT(G5,"   ",H5)</f>
        <v>Hello   World</v>
      </c>
    </row>
    <row r="6" spans="1:10" x14ac:dyDescent="0.3">
      <c r="A6" s="11" t="s">
        <v>36</v>
      </c>
      <c r="B6" s="11" t="s">
        <v>35</v>
      </c>
      <c r="C6" s="12" t="str">
        <f>LEFT(B6,5)</f>
        <v>Excel</v>
      </c>
      <c r="F6" s="18" t="s">
        <v>37</v>
      </c>
      <c r="G6" s="17" t="s">
        <v>50</v>
      </c>
      <c r="H6" s="18" t="s">
        <v>51</v>
      </c>
      <c r="I6" s="18" t="s">
        <v>52</v>
      </c>
      <c r="J6" s="18" t="str">
        <f>_xlfn.TEXTJOIN(", ",TRUE,G6,H6,I6)</f>
        <v>Apple, Banana, cherry</v>
      </c>
    </row>
    <row r="7" spans="1:10" x14ac:dyDescent="0.3">
      <c r="A7" s="11" t="s">
        <v>37</v>
      </c>
      <c r="B7" s="11" t="s">
        <v>39</v>
      </c>
      <c r="C7" s="12" t="str">
        <f>RIGHT(B7,4)</f>
        <v>xlsx</v>
      </c>
      <c r="F7" s="18" t="s">
        <v>38</v>
      </c>
      <c r="G7" s="17">
        <v>2025</v>
      </c>
      <c r="H7" s="18" t="s">
        <v>53</v>
      </c>
      <c r="I7" s="18" t="s">
        <v>54</v>
      </c>
      <c r="J7" s="18" t="str">
        <f>G7&amp;H7&amp;I7</f>
        <v>2025:Excels  function</v>
      </c>
    </row>
    <row r="8" spans="1:10" x14ac:dyDescent="0.3">
      <c r="A8" s="11" t="s">
        <v>38</v>
      </c>
      <c r="B8" s="11" t="s">
        <v>35</v>
      </c>
      <c r="C8" s="12" t="str">
        <f>MID(B8,6,4)</f>
        <v>Tips</v>
      </c>
      <c r="F8" s="18" t="s">
        <v>40</v>
      </c>
      <c r="G8" s="17" t="s">
        <v>60</v>
      </c>
      <c r="H8" s="18" t="s">
        <v>61</v>
      </c>
      <c r="I8" s="18" t="s">
        <v>62</v>
      </c>
      <c r="J8" s="18" t="str">
        <f>_xlfn.TEXTJOIN(" ,  ",TRUE,G5:H7)</f>
        <v>Hello ,  World ,  Apple ,  Banana ,  2025 ,  :</v>
      </c>
    </row>
    <row r="9" spans="1:10" x14ac:dyDescent="0.3">
      <c r="A9" s="11" t="s">
        <v>40</v>
      </c>
      <c r="B9" s="11" t="s">
        <v>41</v>
      </c>
      <c r="C9" s="12">
        <f>LEN(B9)</f>
        <v>12</v>
      </c>
      <c r="F9" s="18" t="s">
        <v>42</v>
      </c>
      <c r="G9" s="17" t="s">
        <v>55</v>
      </c>
      <c r="H9" s="18" t="s">
        <v>56</v>
      </c>
      <c r="I9" s="18" t="s">
        <v>63</v>
      </c>
      <c r="J9" s="18" t="str">
        <f>_xlfn.CONCAT(G9,"  ",H9)</f>
        <v>Sheetal  Mehta</v>
      </c>
    </row>
    <row r="10" spans="1:10" x14ac:dyDescent="0.3">
      <c r="A10" s="11" t="s">
        <v>42</v>
      </c>
      <c r="B10" s="11" t="s">
        <v>43</v>
      </c>
      <c r="C10" s="12" t="str">
        <f>LEFT(RIGHT(B10,12),6)</f>
        <v>-67890</v>
      </c>
    </row>
    <row r="13" spans="1:10" ht="33.6" x14ac:dyDescent="0.65">
      <c r="D13" s="27" t="s">
        <v>65</v>
      </c>
    </row>
    <row r="14" spans="1:10" x14ac:dyDescent="0.3">
      <c r="E14" s="22"/>
      <c r="F14" s="22"/>
    </row>
    <row r="15" spans="1:10" ht="16.8" x14ac:dyDescent="0.35">
      <c r="C15" s="25" t="s">
        <v>36</v>
      </c>
      <c r="D15" s="23">
        <v>45818</v>
      </c>
      <c r="E15" s="24">
        <f ca="1">D15-TODAY()</f>
        <v>-219</v>
      </c>
    </row>
    <row r="16" spans="1:10" ht="16.8" x14ac:dyDescent="0.35">
      <c r="C16" s="25" t="s">
        <v>37</v>
      </c>
      <c r="D16" s="25"/>
      <c r="E16" s="26">
        <f ca="1">NOW()</f>
        <v>46037.881609374999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Q2 , Q5</vt:lpstr>
      <vt:lpstr>Q6, Q7, 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MEHTA</dc:creator>
  <cp:lastModifiedBy>ROSHAN MEHTA</cp:lastModifiedBy>
  <dcterms:created xsi:type="dcterms:W3CDTF">2026-01-15T11:58:29Z</dcterms:created>
  <dcterms:modified xsi:type="dcterms:W3CDTF">2026-01-15T15:40:54Z</dcterms:modified>
</cp:coreProperties>
</file>